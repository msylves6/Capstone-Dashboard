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EmmaY\Documents\Eng + Ivey Year 5\Capstone\Final Simulation Data Results\"/>
    </mc:Choice>
  </mc:AlternateContent>
  <xr:revisionPtr revIDLastSave="0" documentId="13_ncr:1_{520D3E97-6E8E-4EB4-9E1E-216ACF8AF20A}" xr6:coauthVersionLast="47" xr6:coauthVersionMax="47" xr10:uidLastSave="{00000000-0000-0000-0000-000000000000}"/>
  <bookViews>
    <workbookView xWindow="-19298" yWindow="-98" windowWidth="19396" windowHeight="11475" activeTab="2" xr2:uid="{13BB632B-29A6-4E7A-99FF-C60900DD874B}"/>
  </bookViews>
  <sheets>
    <sheet name="Western Loads MW Calculations" sheetId="5" r:id="rId1"/>
    <sheet name="Dx Feeder Cost Savings" sheetId="1" r:id="rId2"/>
    <sheet name="IEEE 14-Bus Cost Savings" sheetId="2" r:id="rId3"/>
    <sheet name="IEEE 14-bus MW reduction data" sheetId="3" r:id="rId4"/>
    <sheet name="IEEE 14-bus % reduction dat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E14" i="5" s="1"/>
  <c r="F14" i="5" s="1"/>
  <c r="K37" i="2"/>
  <c r="K36" i="2"/>
  <c r="K35" i="2"/>
  <c r="H46" i="2"/>
  <c r="B18" i="5"/>
  <c r="B19" i="5" s="1"/>
  <c r="B6" i="5"/>
  <c r="G33" i="4"/>
  <c r="F33" i="4"/>
  <c r="E33" i="4"/>
  <c r="B33" i="4"/>
  <c r="K43" i="2"/>
  <c r="K44" i="2"/>
  <c r="K42" i="2"/>
  <c r="T33" i="4"/>
  <c r="U33" i="4"/>
  <c r="S33" i="4"/>
  <c r="AK29" i="2"/>
  <c r="AH29" i="2"/>
  <c r="AE29" i="2"/>
  <c r="AB29" i="2"/>
  <c r="Y29" i="2"/>
  <c r="V29" i="2"/>
  <c r="S29" i="2"/>
  <c r="P29" i="2"/>
  <c r="M29" i="2"/>
  <c r="J29" i="2"/>
  <c r="G29" i="2"/>
  <c r="D29" i="2"/>
  <c r="S28" i="1"/>
  <c r="P28" i="1"/>
  <c r="M28" i="1"/>
  <c r="J28" i="1"/>
  <c r="G28" i="1"/>
  <c r="D28" i="1"/>
  <c r="D13" i="5"/>
  <c r="E13" i="5" s="1"/>
  <c r="F13" i="5" s="1"/>
  <c r="D12" i="5"/>
  <c r="E12" i="5" s="1"/>
  <c r="F12" i="5" s="1"/>
  <c r="D11" i="5"/>
  <c r="G11" i="5" s="1"/>
  <c r="D10" i="5"/>
  <c r="E10" i="5" s="1"/>
  <c r="F10" i="5" s="1"/>
  <c r="D9" i="5"/>
  <c r="E9" i="5" s="1"/>
  <c r="F9" i="5" s="1"/>
  <c r="G14" i="5" l="1"/>
  <c r="E11" i="5"/>
  <c r="F11" i="5" s="1"/>
  <c r="G9" i="5"/>
  <c r="G13" i="5"/>
  <c r="G12" i="5"/>
  <c r="G10" i="5"/>
  <c r="H43" i="2"/>
  <c r="I43" i="2"/>
  <c r="J43" i="2"/>
  <c r="H44" i="2"/>
  <c r="I44" i="2"/>
  <c r="J44" i="2"/>
  <c r="H45" i="2"/>
  <c r="I45" i="2"/>
  <c r="J45" i="2"/>
  <c r="I42" i="2"/>
  <c r="J42" i="2"/>
  <c r="H42" i="2"/>
  <c r="AM29" i="2"/>
  <c r="AJ29" i="2"/>
  <c r="AG29" i="2"/>
  <c r="AD29" i="2"/>
  <c r="AA29" i="2"/>
  <c r="X29" i="2"/>
  <c r="U29" i="2"/>
  <c r="R29" i="2"/>
  <c r="O29" i="2"/>
  <c r="L29" i="2"/>
  <c r="I29" i="2"/>
  <c r="F29" i="2"/>
  <c r="AF28" i="4"/>
  <c r="AD28" i="4"/>
  <c r="AE28" i="4"/>
  <c r="AC28" i="4"/>
  <c r="AC5" i="4"/>
  <c r="AD5" i="4"/>
  <c r="AE5" i="4"/>
  <c r="AC6" i="4"/>
  <c r="AD6" i="4"/>
  <c r="AE6" i="4"/>
  <c r="AC7" i="4"/>
  <c r="AD7" i="4"/>
  <c r="AE7" i="4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E4" i="4"/>
  <c r="AD4" i="4"/>
  <c r="AC4" i="4"/>
  <c r="AB27" i="4"/>
  <c r="AA27" i="4"/>
  <c r="Z27" i="4"/>
  <c r="AB26" i="4"/>
  <c r="AA26" i="4"/>
  <c r="Z26" i="4"/>
  <c r="AB25" i="4"/>
  <c r="AA25" i="4"/>
  <c r="Z25" i="4"/>
  <c r="AB24" i="4"/>
  <c r="AA24" i="4"/>
  <c r="Z24" i="4"/>
  <c r="AB23" i="4"/>
  <c r="AA23" i="4"/>
  <c r="Z23" i="4"/>
  <c r="AB22" i="4"/>
  <c r="AA22" i="4"/>
  <c r="Z22" i="4"/>
  <c r="AB21" i="4"/>
  <c r="AA21" i="4"/>
  <c r="Z21" i="4"/>
  <c r="AB20" i="4"/>
  <c r="AA20" i="4"/>
  <c r="Z20" i="4"/>
  <c r="AB19" i="4"/>
  <c r="AA19" i="4"/>
  <c r="Z19" i="4"/>
  <c r="AB18" i="4"/>
  <c r="AA18" i="4"/>
  <c r="Z18" i="4"/>
  <c r="AB17" i="4"/>
  <c r="AA17" i="4"/>
  <c r="Z17" i="4"/>
  <c r="AB16" i="4"/>
  <c r="AA16" i="4"/>
  <c r="Z16" i="4"/>
  <c r="AB15" i="4"/>
  <c r="AA15" i="4"/>
  <c r="Z15" i="4"/>
  <c r="AB14" i="4"/>
  <c r="AA14" i="4"/>
  <c r="Z14" i="4"/>
  <c r="AB13" i="4"/>
  <c r="AA13" i="4"/>
  <c r="Z13" i="4"/>
  <c r="AB12" i="4"/>
  <c r="AA12" i="4"/>
  <c r="Z12" i="4"/>
  <c r="AB11" i="4"/>
  <c r="AA11" i="4"/>
  <c r="Z11" i="4"/>
  <c r="AB10" i="4"/>
  <c r="AA10" i="4"/>
  <c r="Z10" i="4"/>
  <c r="AB9" i="4"/>
  <c r="AA9" i="4"/>
  <c r="Z9" i="4"/>
  <c r="AB8" i="4"/>
  <c r="AA8" i="4"/>
  <c r="Z8" i="4"/>
  <c r="AB7" i="4"/>
  <c r="AA7" i="4"/>
  <c r="Z7" i="4"/>
  <c r="AB6" i="4"/>
  <c r="AA6" i="4"/>
  <c r="Z6" i="4"/>
  <c r="AB5" i="4"/>
  <c r="AA5" i="4"/>
  <c r="Z5" i="4"/>
  <c r="AB4" i="4"/>
  <c r="AA4" i="4"/>
  <c r="Z4" i="4"/>
  <c r="S27" i="4"/>
  <c r="R27" i="4"/>
  <c r="Q27" i="4"/>
  <c r="S26" i="4"/>
  <c r="R26" i="4"/>
  <c r="Q26" i="4"/>
  <c r="S25" i="4"/>
  <c r="R25" i="4"/>
  <c r="Q25" i="4"/>
  <c r="S24" i="4"/>
  <c r="R24" i="4"/>
  <c r="Q24" i="4"/>
  <c r="S23" i="4"/>
  <c r="R23" i="4"/>
  <c r="Q23" i="4"/>
  <c r="S22" i="4"/>
  <c r="R22" i="4"/>
  <c r="Q22" i="4"/>
  <c r="S21" i="4"/>
  <c r="R21" i="4"/>
  <c r="Q21" i="4"/>
  <c r="S20" i="4"/>
  <c r="R20" i="4"/>
  <c r="Q20" i="4"/>
  <c r="S19" i="4"/>
  <c r="R19" i="4"/>
  <c r="Q19" i="4"/>
  <c r="S18" i="4"/>
  <c r="R18" i="4"/>
  <c r="Q18" i="4"/>
  <c r="S17" i="4"/>
  <c r="R17" i="4"/>
  <c r="Q17" i="4"/>
  <c r="S16" i="4"/>
  <c r="R16" i="4"/>
  <c r="Q16" i="4"/>
  <c r="S15" i="4"/>
  <c r="R15" i="4"/>
  <c r="Q15" i="4"/>
  <c r="S14" i="4"/>
  <c r="R14" i="4"/>
  <c r="Q14" i="4"/>
  <c r="S13" i="4"/>
  <c r="R13" i="4"/>
  <c r="Q13" i="4"/>
  <c r="S12" i="4"/>
  <c r="R12" i="4"/>
  <c r="Q12" i="4"/>
  <c r="S11" i="4"/>
  <c r="R11" i="4"/>
  <c r="Q11" i="4"/>
  <c r="S10" i="4"/>
  <c r="R10" i="4"/>
  <c r="Q10" i="4"/>
  <c r="S9" i="4"/>
  <c r="R9" i="4"/>
  <c r="Q9" i="4"/>
  <c r="S8" i="4"/>
  <c r="R8" i="4"/>
  <c r="Q8" i="4"/>
  <c r="S7" i="4"/>
  <c r="R7" i="4"/>
  <c r="Q7" i="4"/>
  <c r="S6" i="4"/>
  <c r="R6" i="4"/>
  <c r="Q6" i="4"/>
  <c r="S5" i="4"/>
  <c r="R5" i="4"/>
  <c r="Q5" i="4"/>
  <c r="S4" i="4"/>
  <c r="R4" i="4"/>
  <c r="Q4" i="4"/>
  <c r="H5" i="4"/>
  <c r="I5" i="4"/>
  <c r="J5" i="4"/>
  <c r="H6" i="4"/>
  <c r="I6" i="4"/>
  <c r="J6" i="4"/>
  <c r="H7" i="4"/>
  <c r="I7" i="4"/>
  <c r="J7" i="4"/>
  <c r="H8" i="4"/>
  <c r="I8" i="4"/>
  <c r="J8" i="4"/>
  <c r="H9" i="4"/>
  <c r="I9" i="4"/>
  <c r="J9" i="4"/>
  <c r="H10" i="4"/>
  <c r="I10" i="4"/>
  <c r="J10" i="4"/>
  <c r="H11" i="4"/>
  <c r="I11" i="4"/>
  <c r="J11" i="4"/>
  <c r="H12" i="4"/>
  <c r="I12" i="4"/>
  <c r="J12" i="4"/>
  <c r="H13" i="4"/>
  <c r="I13" i="4"/>
  <c r="J13" i="4"/>
  <c r="H14" i="4"/>
  <c r="I14" i="4"/>
  <c r="J14" i="4"/>
  <c r="H15" i="4"/>
  <c r="I15" i="4"/>
  <c r="J15" i="4"/>
  <c r="H16" i="4"/>
  <c r="I16" i="4"/>
  <c r="J16" i="4"/>
  <c r="H17" i="4"/>
  <c r="I17" i="4"/>
  <c r="J17" i="4"/>
  <c r="H18" i="4"/>
  <c r="I18" i="4"/>
  <c r="J18" i="4"/>
  <c r="H19" i="4"/>
  <c r="I19" i="4"/>
  <c r="J19" i="4"/>
  <c r="H20" i="4"/>
  <c r="I20" i="4"/>
  <c r="J20" i="4"/>
  <c r="H21" i="4"/>
  <c r="I21" i="4"/>
  <c r="J21" i="4"/>
  <c r="H22" i="4"/>
  <c r="I22" i="4"/>
  <c r="J22" i="4"/>
  <c r="H23" i="4"/>
  <c r="I23" i="4"/>
  <c r="J23" i="4"/>
  <c r="H24" i="4"/>
  <c r="I24" i="4"/>
  <c r="J24" i="4"/>
  <c r="H25" i="4"/>
  <c r="I25" i="4"/>
  <c r="J25" i="4"/>
  <c r="H26" i="4"/>
  <c r="I26" i="4"/>
  <c r="J26" i="4"/>
  <c r="H27" i="4"/>
  <c r="I27" i="4"/>
  <c r="J27" i="4"/>
  <c r="J4" i="4"/>
  <c r="I4" i="4"/>
  <c r="H4" i="4"/>
  <c r="T30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3" i="1"/>
  <c r="H38" i="2" l="1"/>
  <c r="J37" i="2"/>
  <c r="J36" i="2"/>
  <c r="J35" i="2"/>
  <c r="I37" i="2"/>
  <c r="I36" i="2"/>
  <c r="I38" i="2" s="1"/>
  <c r="I35" i="2"/>
  <c r="H37" i="2"/>
  <c r="H36" i="2"/>
  <c r="H35" i="2"/>
  <c r="AK24" i="2"/>
  <c r="AM24" i="2" s="1"/>
  <c r="AK23" i="2"/>
  <c r="AM23" i="2" s="1"/>
  <c r="AK18" i="2"/>
  <c r="AM18" i="2" s="1"/>
  <c r="AK17" i="2"/>
  <c r="AM17" i="2" s="1"/>
  <c r="AK12" i="2"/>
  <c r="AM12" i="2" s="1"/>
  <c r="AK11" i="2"/>
  <c r="AM11" i="2" s="1"/>
  <c r="AK6" i="2"/>
  <c r="AM6" i="2" s="1"/>
  <c r="AK5" i="2"/>
  <c r="AM5" i="2" s="1"/>
  <c r="AB5" i="2"/>
  <c r="AB6" i="2"/>
  <c r="AD6" i="2" s="1"/>
  <c r="AB7" i="2"/>
  <c r="AD7" i="2" s="1"/>
  <c r="AB8" i="2"/>
  <c r="AK8" i="2" s="1"/>
  <c r="AM8" i="2" s="1"/>
  <c r="AB9" i="2"/>
  <c r="AD9" i="2" s="1"/>
  <c r="AB10" i="2"/>
  <c r="AD10" i="2" s="1"/>
  <c r="AB11" i="2"/>
  <c r="AD11" i="2" s="1"/>
  <c r="AB12" i="2"/>
  <c r="AD12" i="2" s="1"/>
  <c r="AB13" i="2"/>
  <c r="AD13" i="2" s="1"/>
  <c r="AB14" i="2"/>
  <c r="AD14" i="2" s="1"/>
  <c r="AB15" i="2"/>
  <c r="AD15" i="2" s="1"/>
  <c r="AB16" i="2"/>
  <c r="AD16" i="2" s="1"/>
  <c r="AB17" i="2"/>
  <c r="AB18" i="2"/>
  <c r="AD18" i="2" s="1"/>
  <c r="AB19" i="2"/>
  <c r="AD19" i="2" s="1"/>
  <c r="AB20" i="2"/>
  <c r="AD20" i="2" s="1"/>
  <c r="AB21" i="2"/>
  <c r="AD21" i="2" s="1"/>
  <c r="AB22" i="2"/>
  <c r="AK22" i="2" s="1"/>
  <c r="AM22" i="2" s="1"/>
  <c r="AB23" i="2"/>
  <c r="AB24" i="2"/>
  <c r="AD24" i="2" s="1"/>
  <c r="AB25" i="2"/>
  <c r="AD25" i="2" s="1"/>
  <c r="AB26" i="2"/>
  <c r="AD26" i="2" s="1"/>
  <c r="AB27" i="2"/>
  <c r="AD27" i="2" s="1"/>
  <c r="Y5" i="2"/>
  <c r="AA5" i="2" s="1"/>
  <c r="Y6" i="2"/>
  <c r="AA6" i="2" s="1"/>
  <c r="Y7" i="2"/>
  <c r="Y8" i="2"/>
  <c r="AA8" i="2" s="1"/>
  <c r="Y9" i="2"/>
  <c r="AA9" i="2" s="1"/>
  <c r="Y10" i="2"/>
  <c r="AA10" i="2" s="1"/>
  <c r="Y11" i="2"/>
  <c r="AA11" i="2" s="1"/>
  <c r="Y12" i="2"/>
  <c r="AA12" i="2" s="1"/>
  <c r="Y13" i="2"/>
  <c r="Y14" i="2"/>
  <c r="AA14" i="2" s="1"/>
  <c r="Y15" i="2"/>
  <c r="AA15" i="2" s="1"/>
  <c r="Y16" i="2"/>
  <c r="Y17" i="2"/>
  <c r="AA17" i="2" s="1"/>
  <c r="Y18" i="2"/>
  <c r="AA18" i="2" s="1"/>
  <c r="Y19" i="2"/>
  <c r="AA19" i="2" s="1"/>
  <c r="Y20" i="2"/>
  <c r="AA20" i="2" s="1"/>
  <c r="Y21" i="2"/>
  <c r="AA21" i="2" s="1"/>
  <c r="Y22" i="2"/>
  <c r="AA22" i="2" s="1"/>
  <c r="Y23" i="2"/>
  <c r="AA23" i="2" s="1"/>
  <c r="Y24" i="2"/>
  <c r="AA24" i="2" s="1"/>
  <c r="Y25" i="2"/>
  <c r="AA25" i="2" s="1"/>
  <c r="Y26" i="2"/>
  <c r="AA26" i="2" s="1"/>
  <c r="Y27" i="2"/>
  <c r="AA27" i="2" s="1"/>
  <c r="V5" i="2"/>
  <c r="V6" i="2"/>
  <c r="X6" i="2" s="1"/>
  <c r="V7" i="2"/>
  <c r="X7" i="2" s="1"/>
  <c r="V8" i="2"/>
  <c r="X8" i="2" s="1"/>
  <c r="V9" i="2"/>
  <c r="V10" i="2"/>
  <c r="V11" i="2"/>
  <c r="X11" i="2" s="1"/>
  <c r="V12" i="2"/>
  <c r="X12" i="2" s="1"/>
  <c r="V13" i="2"/>
  <c r="X13" i="2" s="1"/>
  <c r="V14" i="2"/>
  <c r="X14" i="2" s="1"/>
  <c r="V15" i="2"/>
  <c r="X15" i="2" s="1"/>
  <c r="V16" i="2"/>
  <c r="AE16" i="2" s="1"/>
  <c r="AG16" i="2" s="1"/>
  <c r="V17" i="2"/>
  <c r="V18" i="2"/>
  <c r="X18" i="2" s="1"/>
  <c r="V19" i="2"/>
  <c r="V20" i="2"/>
  <c r="V21" i="2"/>
  <c r="V22" i="2"/>
  <c r="X22" i="2" s="1"/>
  <c r="V23" i="2"/>
  <c r="V24" i="2"/>
  <c r="X24" i="2" s="1"/>
  <c r="V25" i="2"/>
  <c r="X25" i="2" s="1"/>
  <c r="V26" i="2"/>
  <c r="X26" i="2" s="1"/>
  <c r="V27" i="2"/>
  <c r="X27" i="2" s="1"/>
  <c r="AB4" i="2"/>
  <c r="AD4" i="2" s="1"/>
  <c r="Y4" i="2"/>
  <c r="AA4" i="2" s="1"/>
  <c r="V4" i="2"/>
  <c r="X4" i="2" s="1"/>
  <c r="X21" i="2"/>
  <c r="X10" i="2"/>
  <c r="X9" i="2"/>
  <c r="S5" i="2"/>
  <c r="S6" i="2"/>
  <c r="U6" i="2" s="1"/>
  <c r="S7" i="2"/>
  <c r="U7" i="2" s="1"/>
  <c r="S8" i="2"/>
  <c r="U8" i="2" s="1"/>
  <c r="S9" i="2"/>
  <c r="U9" i="2" s="1"/>
  <c r="S10" i="2"/>
  <c r="U10" i="2" s="1"/>
  <c r="S11" i="2"/>
  <c r="U11" i="2" s="1"/>
  <c r="S12" i="2"/>
  <c r="U12" i="2" s="1"/>
  <c r="S13" i="2"/>
  <c r="U13" i="2" s="1"/>
  <c r="S14" i="2"/>
  <c r="U14" i="2" s="1"/>
  <c r="S15" i="2"/>
  <c r="U15" i="2" s="1"/>
  <c r="S16" i="2"/>
  <c r="U16" i="2" s="1"/>
  <c r="S17" i="2"/>
  <c r="S18" i="2"/>
  <c r="U18" i="2" s="1"/>
  <c r="S19" i="2"/>
  <c r="U19" i="2" s="1"/>
  <c r="S20" i="2"/>
  <c r="U20" i="2" s="1"/>
  <c r="S21" i="2"/>
  <c r="U21" i="2" s="1"/>
  <c r="S22" i="2"/>
  <c r="U22" i="2" s="1"/>
  <c r="S23" i="2"/>
  <c r="S24" i="2"/>
  <c r="S25" i="2"/>
  <c r="U25" i="2" s="1"/>
  <c r="S26" i="2"/>
  <c r="U26" i="2" s="1"/>
  <c r="S27" i="2"/>
  <c r="U27" i="2" s="1"/>
  <c r="P5" i="2"/>
  <c r="R5" i="2" s="1"/>
  <c r="P6" i="2"/>
  <c r="P7" i="2"/>
  <c r="R7" i="2" s="1"/>
  <c r="P8" i="2"/>
  <c r="R8" i="2" s="1"/>
  <c r="P9" i="2"/>
  <c r="R9" i="2" s="1"/>
  <c r="P10" i="2"/>
  <c r="R10" i="2" s="1"/>
  <c r="P11" i="2"/>
  <c r="R11" i="2" s="1"/>
  <c r="P12" i="2"/>
  <c r="R12" i="2" s="1"/>
  <c r="P13" i="2"/>
  <c r="R13" i="2" s="1"/>
  <c r="P14" i="2"/>
  <c r="R14" i="2" s="1"/>
  <c r="P15" i="2"/>
  <c r="R15" i="2" s="1"/>
  <c r="P16" i="2"/>
  <c r="R16" i="2" s="1"/>
  <c r="P17" i="2"/>
  <c r="R17" i="2" s="1"/>
  <c r="P18" i="2"/>
  <c r="R18" i="2" s="1"/>
  <c r="P19" i="2"/>
  <c r="R19" i="2" s="1"/>
  <c r="P20" i="2"/>
  <c r="R20" i="2" s="1"/>
  <c r="P21" i="2"/>
  <c r="R21" i="2" s="1"/>
  <c r="P22" i="2"/>
  <c r="R22" i="2" s="1"/>
  <c r="P23" i="2"/>
  <c r="R23" i="2" s="1"/>
  <c r="P24" i="2"/>
  <c r="R24" i="2" s="1"/>
  <c r="P25" i="2"/>
  <c r="R25" i="2" s="1"/>
  <c r="P26" i="2"/>
  <c r="R26" i="2" s="1"/>
  <c r="M5" i="2"/>
  <c r="O5" i="2" s="1"/>
  <c r="M6" i="2"/>
  <c r="O6" i="2" s="1"/>
  <c r="M7" i="2"/>
  <c r="O7" i="2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S4" i="2"/>
  <c r="U4" i="2" s="1"/>
  <c r="P4" i="2"/>
  <c r="R4" i="2" s="1"/>
  <c r="M4" i="2"/>
  <c r="O4" i="2" s="1"/>
  <c r="R27" i="2"/>
  <c r="R6" i="2"/>
  <c r="J5" i="2"/>
  <c r="L5" i="2" s="1"/>
  <c r="J6" i="2"/>
  <c r="J7" i="2"/>
  <c r="L7" i="2" s="1"/>
  <c r="J8" i="2"/>
  <c r="L8" i="2" s="1"/>
  <c r="J9" i="2"/>
  <c r="L9" i="2" s="1"/>
  <c r="J10" i="2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J19" i="2"/>
  <c r="J20" i="2"/>
  <c r="L20" i="2" s="1"/>
  <c r="J21" i="2"/>
  <c r="L21" i="2" s="1"/>
  <c r="J22" i="2"/>
  <c r="L22" i="2" s="1"/>
  <c r="J23" i="2"/>
  <c r="L23" i="2" s="1"/>
  <c r="J24" i="2"/>
  <c r="L24" i="2" s="1"/>
  <c r="J25" i="2"/>
  <c r="L25" i="2" s="1"/>
  <c r="J26" i="2"/>
  <c r="L26" i="2" s="1"/>
  <c r="J27" i="2"/>
  <c r="L27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G13" i="2"/>
  <c r="I13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D5" i="2"/>
  <c r="F5" i="2" s="1"/>
  <c r="D6" i="2"/>
  <c r="F6" i="2" s="1"/>
  <c r="D7" i="2"/>
  <c r="D8" i="2"/>
  <c r="F8" i="2" s="1"/>
  <c r="D9" i="2"/>
  <c r="F9" i="2" s="1"/>
  <c r="D10" i="2"/>
  <c r="F10" i="2" s="1"/>
  <c r="D11" i="2"/>
  <c r="F11" i="2" s="1"/>
  <c r="D12" i="2"/>
  <c r="F12" i="2" s="1"/>
  <c r="D13" i="2"/>
  <c r="F13" i="2" s="1"/>
  <c r="D14" i="2"/>
  <c r="F14" i="2" s="1"/>
  <c r="D15" i="2"/>
  <c r="F15" i="2" s="1"/>
  <c r="D16" i="2"/>
  <c r="F16" i="2" s="1"/>
  <c r="D17" i="2"/>
  <c r="F17" i="2" s="1"/>
  <c r="D18" i="2"/>
  <c r="F18" i="2" s="1"/>
  <c r="D19" i="2"/>
  <c r="F19" i="2" s="1"/>
  <c r="D20" i="2"/>
  <c r="F20" i="2" s="1"/>
  <c r="D21" i="2"/>
  <c r="F21" i="2" s="1"/>
  <c r="D22" i="2"/>
  <c r="F22" i="2" s="1"/>
  <c r="D23" i="2"/>
  <c r="F23" i="2" s="1"/>
  <c r="D24" i="2"/>
  <c r="F24" i="2" s="1"/>
  <c r="D25" i="2"/>
  <c r="F25" i="2" s="1"/>
  <c r="D26" i="2"/>
  <c r="F26" i="2" s="1"/>
  <c r="D27" i="2"/>
  <c r="F27" i="2" s="1"/>
  <c r="J4" i="2"/>
  <c r="L4" i="2" s="1"/>
  <c r="G4" i="2"/>
  <c r="I4" i="2" s="1"/>
  <c r="D4" i="2"/>
  <c r="F4" i="2" s="1"/>
  <c r="AB27" i="3"/>
  <c r="AA27" i="3"/>
  <c r="Z27" i="3"/>
  <c r="AB26" i="3"/>
  <c r="AA26" i="3"/>
  <c r="Z26" i="3"/>
  <c r="AB25" i="3"/>
  <c r="AA25" i="3"/>
  <c r="Z25" i="3"/>
  <c r="AB24" i="3"/>
  <c r="AA24" i="3"/>
  <c r="Z24" i="3"/>
  <c r="AB23" i="3"/>
  <c r="AA23" i="3"/>
  <c r="Z23" i="3"/>
  <c r="AB22" i="3"/>
  <c r="AA22" i="3"/>
  <c r="Z22" i="3"/>
  <c r="AB21" i="3"/>
  <c r="AA21" i="3"/>
  <c r="Z21" i="3"/>
  <c r="AB20" i="3"/>
  <c r="AA20" i="3"/>
  <c r="Z20" i="3"/>
  <c r="AB19" i="3"/>
  <c r="AA19" i="3"/>
  <c r="Z19" i="3"/>
  <c r="AB18" i="3"/>
  <c r="AA18" i="3"/>
  <c r="Z18" i="3"/>
  <c r="AB17" i="3"/>
  <c r="AA17" i="3"/>
  <c r="Z17" i="3"/>
  <c r="AB16" i="3"/>
  <c r="AA16" i="3"/>
  <c r="Z16" i="3"/>
  <c r="AB15" i="3"/>
  <c r="AA15" i="3"/>
  <c r="Z15" i="3"/>
  <c r="AB14" i="3"/>
  <c r="AA14" i="3"/>
  <c r="Z14" i="3"/>
  <c r="AB13" i="3"/>
  <c r="AA13" i="3"/>
  <c r="Z13" i="3"/>
  <c r="AB12" i="3"/>
  <c r="AA12" i="3"/>
  <c r="Z12" i="3"/>
  <c r="AB11" i="3"/>
  <c r="AA11" i="3"/>
  <c r="Z11" i="3"/>
  <c r="AB10" i="3"/>
  <c r="AA10" i="3"/>
  <c r="Z10" i="3"/>
  <c r="AB9" i="3"/>
  <c r="AA9" i="3"/>
  <c r="Z9" i="3"/>
  <c r="AB8" i="3"/>
  <c r="AA8" i="3"/>
  <c r="Z8" i="3"/>
  <c r="AB7" i="3"/>
  <c r="AA7" i="3"/>
  <c r="Z7" i="3"/>
  <c r="AB6" i="3"/>
  <c r="AA6" i="3"/>
  <c r="Z6" i="3"/>
  <c r="AB5" i="3"/>
  <c r="AA5" i="3"/>
  <c r="Z5" i="3"/>
  <c r="AB4" i="3"/>
  <c r="AA4" i="3"/>
  <c r="Z4" i="3"/>
  <c r="S27" i="3"/>
  <c r="R27" i="3"/>
  <c r="Q27" i="3"/>
  <c r="S26" i="3"/>
  <c r="R26" i="3"/>
  <c r="Q26" i="3"/>
  <c r="S25" i="3"/>
  <c r="R25" i="3"/>
  <c r="Q25" i="3"/>
  <c r="S24" i="3"/>
  <c r="R24" i="3"/>
  <c r="Q24" i="3"/>
  <c r="S23" i="3"/>
  <c r="R23" i="3"/>
  <c r="Q23" i="3"/>
  <c r="S22" i="3"/>
  <c r="R22" i="3"/>
  <c r="Q22" i="3"/>
  <c r="S21" i="3"/>
  <c r="R21" i="3"/>
  <c r="Q21" i="3"/>
  <c r="S20" i="3"/>
  <c r="R20" i="3"/>
  <c r="Q20" i="3"/>
  <c r="S19" i="3"/>
  <c r="R19" i="3"/>
  <c r="Q19" i="3"/>
  <c r="S18" i="3"/>
  <c r="R18" i="3"/>
  <c r="Q18" i="3"/>
  <c r="S17" i="3"/>
  <c r="R17" i="3"/>
  <c r="Q17" i="3"/>
  <c r="S16" i="3"/>
  <c r="R16" i="3"/>
  <c r="Q16" i="3"/>
  <c r="S15" i="3"/>
  <c r="R15" i="3"/>
  <c r="Q15" i="3"/>
  <c r="S14" i="3"/>
  <c r="R14" i="3"/>
  <c r="Q14" i="3"/>
  <c r="S13" i="3"/>
  <c r="R13" i="3"/>
  <c r="Q13" i="3"/>
  <c r="S12" i="3"/>
  <c r="R12" i="3"/>
  <c r="Q12" i="3"/>
  <c r="S11" i="3"/>
  <c r="R11" i="3"/>
  <c r="Q11" i="3"/>
  <c r="S10" i="3"/>
  <c r="R10" i="3"/>
  <c r="Q10" i="3"/>
  <c r="S9" i="3"/>
  <c r="R9" i="3"/>
  <c r="Q9" i="3"/>
  <c r="S8" i="3"/>
  <c r="R8" i="3"/>
  <c r="Q8" i="3"/>
  <c r="S7" i="3"/>
  <c r="R7" i="3"/>
  <c r="Q7" i="3"/>
  <c r="S6" i="3"/>
  <c r="R6" i="3"/>
  <c r="Q6" i="3"/>
  <c r="S5" i="3"/>
  <c r="R5" i="3"/>
  <c r="Q5" i="3"/>
  <c r="S4" i="3"/>
  <c r="R4" i="3"/>
  <c r="Q4" i="3"/>
  <c r="H5" i="3"/>
  <c r="I5" i="3"/>
  <c r="J5" i="3"/>
  <c r="H6" i="3"/>
  <c r="I6" i="3"/>
  <c r="J6" i="3"/>
  <c r="H7" i="3"/>
  <c r="I7" i="3"/>
  <c r="J7" i="3"/>
  <c r="H8" i="3"/>
  <c r="I8" i="3"/>
  <c r="J8" i="3"/>
  <c r="H9" i="3"/>
  <c r="I9" i="3"/>
  <c r="J9" i="3"/>
  <c r="H10" i="3"/>
  <c r="I10" i="3"/>
  <c r="J10" i="3"/>
  <c r="H11" i="3"/>
  <c r="I11" i="3"/>
  <c r="J11" i="3"/>
  <c r="H12" i="3"/>
  <c r="I12" i="3"/>
  <c r="J12" i="3"/>
  <c r="H13" i="3"/>
  <c r="I13" i="3"/>
  <c r="J13" i="3"/>
  <c r="H14" i="3"/>
  <c r="I14" i="3"/>
  <c r="J14" i="3"/>
  <c r="H15" i="3"/>
  <c r="I15" i="3"/>
  <c r="J15" i="3"/>
  <c r="H16" i="3"/>
  <c r="I16" i="3"/>
  <c r="J16" i="3"/>
  <c r="H17" i="3"/>
  <c r="I17" i="3"/>
  <c r="J17" i="3"/>
  <c r="H18" i="3"/>
  <c r="I18" i="3"/>
  <c r="J18" i="3"/>
  <c r="H19" i="3"/>
  <c r="I19" i="3"/>
  <c r="J19" i="3"/>
  <c r="H20" i="3"/>
  <c r="I20" i="3"/>
  <c r="J20" i="3"/>
  <c r="H21" i="3"/>
  <c r="I21" i="3"/>
  <c r="J21" i="3"/>
  <c r="H22" i="3"/>
  <c r="I22" i="3"/>
  <c r="J22" i="3"/>
  <c r="H23" i="3"/>
  <c r="I23" i="3"/>
  <c r="J23" i="3"/>
  <c r="H24" i="3"/>
  <c r="I24" i="3"/>
  <c r="J24" i="3"/>
  <c r="H25" i="3"/>
  <c r="I25" i="3"/>
  <c r="J25" i="3"/>
  <c r="H26" i="3"/>
  <c r="I26" i="3"/>
  <c r="J26" i="3"/>
  <c r="H27" i="3"/>
  <c r="I27" i="3"/>
  <c r="J27" i="3"/>
  <c r="J4" i="3"/>
  <c r="I4" i="3"/>
  <c r="H4" i="3"/>
  <c r="F7" i="2"/>
  <c r="AD23" i="2"/>
  <c r="AD22" i="2"/>
  <c r="AD17" i="2"/>
  <c r="U17" i="2"/>
  <c r="AD8" i="2"/>
  <c r="AD5" i="2"/>
  <c r="U5" i="2"/>
  <c r="J38" i="2" l="1"/>
  <c r="H39" i="2"/>
  <c r="AK7" i="2"/>
  <c r="AM7" i="2" s="1"/>
  <c r="AK13" i="2"/>
  <c r="AM13" i="2" s="1"/>
  <c r="AK19" i="2"/>
  <c r="AM19" i="2" s="1"/>
  <c r="AK25" i="2"/>
  <c r="AM25" i="2" s="1"/>
  <c r="AH6" i="2"/>
  <c r="AJ6" i="2" s="1"/>
  <c r="AK14" i="2"/>
  <c r="AM14" i="2" s="1"/>
  <c r="AK20" i="2"/>
  <c r="AM20" i="2" s="1"/>
  <c r="AK26" i="2"/>
  <c r="AM26" i="2" s="1"/>
  <c r="AH7" i="2"/>
  <c r="AJ7" i="2" s="1"/>
  <c r="AK9" i="2"/>
  <c r="AM9" i="2" s="1"/>
  <c r="AK15" i="2"/>
  <c r="AM15" i="2" s="1"/>
  <c r="AK21" i="2"/>
  <c r="AM21" i="2" s="1"/>
  <c r="AK27" i="2"/>
  <c r="AM27" i="2" s="1"/>
  <c r="AK4" i="2"/>
  <c r="AM4" i="2" s="1"/>
  <c r="AK10" i="2"/>
  <c r="AM10" i="2" s="1"/>
  <c r="AK16" i="2"/>
  <c r="AM16" i="2" s="1"/>
  <c r="AH17" i="2"/>
  <c r="AJ17" i="2" s="1"/>
  <c r="AE25" i="2"/>
  <c r="AG25" i="2" s="1"/>
  <c r="AE17" i="2"/>
  <c r="AG17" i="2" s="1"/>
  <c r="AE5" i="2"/>
  <c r="AG5" i="2" s="1"/>
  <c r="AH16" i="2"/>
  <c r="AJ16" i="2" s="1"/>
  <c r="AH18" i="2"/>
  <c r="AJ18" i="2" s="1"/>
  <c r="AE14" i="2"/>
  <c r="AG14" i="2" s="1"/>
  <c r="X5" i="2"/>
  <c r="AH13" i="2"/>
  <c r="AJ13" i="2" s="1"/>
  <c r="AE13" i="2"/>
  <c r="AG13" i="2" s="1"/>
  <c r="AE12" i="2"/>
  <c r="AH5" i="2"/>
  <c r="AJ5" i="2" s="1"/>
  <c r="AE23" i="2"/>
  <c r="AG23" i="2" s="1"/>
  <c r="AE11" i="2"/>
  <c r="AG11" i="2" s="1"/>
  <c r="AH22" i="2"/>
  <c r="AJ22" i="2" s="1"/>
  <c r="AH10" i="2"/>
  <c r="AJ10" i="2" s="1"/>
  <c r="X17" i="2"/>
  <c r="AE22" i="2"/>
  <c r="AG22" i="2" s="1"/>
  <c r="AE10" i="2"/>
  <c r="AG10" i="2" s="1"/>
  <c r="AH11" i="2"/>
  <c r="AJ11" i="2" s="1"/>
  <c r="AE24" i="2"/>
  <c r="AG24" i="2" s="1"/>
  <c r="AA7" i="2"/>
  <c r="AE21" i="2"/>
  <c r="AG21" i="2" s="1"/>
  <c r="AE9" i="2"/>
  <c r="AG9" i="2" s="1"/>
  <c r="AH19" i="2"/>
  <c r="AJ19" i="2" s="1"/>
  <c r="AA13" i="2"/>
  <c r="X23" i="2"/>
  <c r="AE19" i="2"/>
  <c r="AG19" i="2" s="1"/>
  <c r="AH23" i="2"/>
  <c r="AJ23" i="2" s="1"/>
  <c r="AE20" i="2"/>
  <c r="AG20" i="2" s="1"/>
  <c r="AH12" i="2"/>
  <c r="AJ12" i="2" s="1"/>
  <c r="AA16" i="2"/>
  <c r="AA28" i="2" s="1"/>
  <c r="AE26" i="2"/>
  <c r="AG26" i="2" s="1"/>
  <c r="AH24" i="2"/>
  <c r="AJ24" i="2" s="1"/>
  <c r="X16" i="2"/>
  <c r="AH25" i="2"/>
  <c r="AJ25" i="2" s="1"/>
  <c r="X19" i="2"/>
  <c r="X20" i="2"/>
  <c r="AE8" i="2"/>
  <c r="AH8" i="2"/>
  <c r="AJ8" i="2" s="1"/>
  <c r="AH14" i="2"/>
  <c r="AJ14" i="2" s="1"/>
  <c r="AH20" i="2"/>
  <c r="AJ20" i="2" s="1"/>
  <c r="AH26" i="2"/>
  <c r="AJ26" i="2" s="1"/>
  <c r="I12" i="2"/>
  <c r="AE7" i="2"/>
  <c r="AE18" i="2"/>
  <c r="AG18" i="2" s="1"/>
  <c r="AE6" i="2"/>
  <c r="AG6" i="2" s="1"/>
  <c r="AH9" i="2"/>
  <c r="AJ9" i="2" s="1"/>
  <c r="AH15" i="2"/>
  <c r="AJ15" i="2" s="1"/>
  <c r="AH21" i="2"/>
  <c r="AJ21" i="2" s="1"/>
  <c r="AH27" i="2"/>
  <c r="AJ27" i="2" s="1"/>
  <c r="AE4" i="2"/>
  <c r="AG4" i="2" s="1"/>
  <c r="AH4" i="2"/>
  <c r="AJ4" i="2" s="1"/>
  <c r="AE27" i="2"/>
  <c r="AG27" i="2" s="1"/>
  <c r="AE15" i="2"/>
  <c r="AG15" i="2" s="1"/>
  <c r="L6" i="2"/>
  <c r="L10" i="2"/>
  <c r="AG12" i="2"/>
  <c r="U24" i="2"/>
  <c r="U23" i="2"/>
  <c r="O28" i="2"/>
  <c r="L18" i="2"/>
  <c r="R28" i="2"/>
  <c r="AG7" i="2"/>
  <c r="L19" i="2"/>
  <c r="AG8" i="2"/>
  <c r="F28" i="2"/>
  <c r="AD28" i="2"/>
  <c r="I28" i="2"/>
  <c r="AM28" i="2" l="1"/>
  <c r="X28" i="2"/>
  <c r="AJ28" i="2"/>
  <c r="U28" i="2"/>
  <c r="L28" i="2"/>
  <c r="AG28" i="2"/>
  <c r="G33" i="1" l="1"/>
  <c r="H33" i="1"/>
  <c r="I33" i="1"/>
  <c r="J33" i="1"/>
  <c r="K33" i="1"/>
  <c r="L33" i="1"/>
  <c r="L32" i="1"/>
  <c r="K32" i="1"/>
  <c r="J32" i="1"/>
  <c r="I32" i="1"/>
  <c r="H32" i="1"/>
  <c r="G32" i="1"/>
  <c r="U17" i="1"/>
  <c r="U16" i="1"/>
  <c r="U15" i="1"/>
  <c r="R17" i="1"/>
  <c r="R16" i="1"/>
  <c r="R15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7" i="1" s="1"/>
  <c r="O28" i="1" s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7" i="1" s="1"/>
  <c r="L28" i="1" s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7" i="1" s="1"/>
  <c r="I28" i="1" s="1"/>
  <c r="F4" i="1"/>
  <c r="F5" i="1"/>
  <c r="F27" i="1" s="1"/>
  <c r="F28" i="1" s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3" i="1"/>
  <c r="S4" i="1"/>
  <c r="U4" i="1" s="1"/>
  <c r="S5" i="1"/>
  <c r="U5" i="1" s="1"/>
  <c r="S6" i="1"/>
  <c r="U6" i="1" s="1"/>
  <c r="S7" i="1"/>
  <c r="U7" i="1" s="1"/>
  <c r="S8" i="1"/>
  <c r="U8" i="1" s="1"/>
  <c r="S9" i="1"/>
  <c r="U9" i="1" s="1"/>
  <c r="S10" i="1"/>
  <c r="U10" i="1" s="1"/>
  <c r="S11" i="1"/>
  <c r="U11" i="1" s="1"/>
  <c r="S12" i="1"/>
  <c r="U12" i="1" s="1"/>
  <c r="S13" i="1"/>
  <c r="U13" i="1" s="1"/>
  <c r="S14" i="1"/>
  <c r="U14" i="1" s="1"/>
  <c r="S15" i="1"/>
  <c r="S16" i="1"/>
  <c r="S17" i="1"/>
  <c r="S18" i="1"/>
  <c r="U18" i="1" s="1"/>
  <c r="S19" i="1"/>
  <c r="U19" i="1" s="1"/>
  <c r="S20" i="1"/>
  <c r="U20" i="1" s="1"/>
  <c r="S21" i="1"/>
  <c r="U21" i="1" s="1"/>
  <c r="S22" i="1"/>
  <c r="U22" i="1" s="1"/>
  <c r="S23" i="1"/>
  <c r="U23" i="1" s="1"/>
  <c r="S24" i="1"/>
  <c r="U24" i="1" s="1"/>
  <c r="S25" i="1"/>
  <c r="U25" i="1" s="1"/>
  <c r="S26" i="1"/>
  <c r="U26" i="1" s="1"/>
  <c r="S3" i="1"/>
  <c r="U3" i="1" s="1"/>
  <c r="P4" i="1"/>
  <c r="R4" i="1" s="1"/>
  <c r="Q4" i="1"/>
  <c r="P5" i="1"/>
  <c r="R5" i="1" s="1"/>
  <c r="Q5" i="1"/>
  <c r="P6" i="1"/>
  <c r="R6" i="1" s="1"/>
  <c r="Q6" i="1"/>
  <c r="P7" i="1"/>
  <c r="R7" i="1" s="1"/>
  <c r="Q7" i="1"/>
  <c r="P8" i="1"/>
  <c r="R8" i="1" s="1"/>
  <c r="Q8" i="1"/>
  <c r="P9" i="1"/>
  <c r="R9" i="1" s="1"/>
  <c r="Q9" i="1"/>
  <c r="P10" i="1"/>
  <c r="R10" i="1" s="1"/>
  <c r="Q10" i="1"/>
  <c r="P11" i="1"/>
  <c r="R11" i="1" s="1"/>
  <c r="Q11" i="1"/>
  <c r="P12" i="1"/>
  <c r="R12" i="1" s="1"/>
  <c r="Q12" i="1"/>
  <c r="P13" i="1"/>
  <c r="R13" i="1" s="1"/>
  <c r="Q13" i="1"/>
  <c r="P14" i="1"/>
  <c r="R14" i="1" s="1"/>
  <c r="Q14" i="1"/>
  <c r="P15" i="1"/>
  <c r="Q15" i="1"/>
  <c r="P16" i="1"/>
  <c r="Q16" i="1"/>
  <c r="P17" i="1"/>
  <c r="Q17" i="1"/>
  <c r="P18" i="1"/>
  <c r="R18" i="1" s="1"/>
  <c r="Q18" i="1"/>
  <c r="P19" i="1"/>
  <c r="R19" i="1" s="1"/>
  <c r="Q19" i="1"/>
  <c r="P20" i="1"/>
  <c r="R20" i="1" s="1"/>
  <c r="Q20" i="1"/>
  <c r="P21" i="1"/>
  <c r="R21" i="1" s="1"/>
  <c r="Q21" i="1"/>
  <c r="P22" i="1"/>
  <c r="R22" i="1" s="1"/>
  <c r="Q22" i="1"/>
  <c r="P23" i="1"/>
  <c r="R23" i="1" s="1"/>
  <c r="Q23" i="1"/>
  <c r="P24" i="1"/>
  <c r="R24" i="1" s="1"/>
  <c r="Q24" i="1"/>
  <c r="P25" i="1"/>
  <c r="R25" i="1" s="1"/>
  <c r="Q25" i="1"/>
  <c r="P26" i="1"/>
  <c r="R26" i="1" s="1"/>
  <c r="Q26" i="1"/>
  <c r="Q3" i="1"/>
  <c r="P3" i="1"/>
  <c r="R3" i="1" s="1"/>
  <c r="U27" i="1" l="1"/>
  <c r="U28" i="1" s="1"/>
  <c r="R27" i="1"/>
  <c r="R28" i="1" s="1"/>
</calcChain>
</file>

<file path=xl/sharedStrings.xml><?xml version="1.0" encoding="utf-8"?>
<sst xmlns="http://schemas.openxmlformats.org/spreadsheetml/2006/main" count="257" uniqueCount="80">
  <si>
    <t>Hour</t>
  </si>
  <si>
    <t>% Reduction</t>
  </si>
  <si>
    <t>Constant Z Load</t>
  </si>
  <si>
    <t>Constant I Load</t>
  </si>
  <si>
    <t>ZIP - Residential</t>
  </si>
  <si>
    <t>ZIP - Commerical</t>
  </si>
  <si>
    <t>ZIP - Average</t>
  </si>
  <si>
    <t>MW Reduction</t>
  </si>
  <si>
    <t>Constant Z Load - Avg</t>
  </si>
  <si>
    <t>*Note that these values are the AVERAGE of all simulations done for that load type</t>
  </si>
  <si>
    <t>*We can make more graphs and cost savings calculations with more filters (such as specific PV bus, specific PF, etc)</t>
  </si>
  <si>
    <t>All Load Types - Average</t>
  </si>
  <si>
    <t>Price - TOU</t>
  </si>
  <si>
    <t>cents/kWh</t>
  </si>
  <si>
    <t>Hourly Load % of Peak</t>
  </si>
  <si>
    <t>%</t>
  </si>
  <si>
    <t>$ savings</t>
  </si>
  <si>
    <t>Total daily savings</t>
  </si>
  <si>
    <t>Average annualized savings</t>
  </si>
  <si>
    <t>ZIP - Res.</t>
  </si>
  <si>
    <t>ZIP - Comm.</t>
  </si>
  <si>
    <t>Zip - Average</t>
  </si>
  <si>
    <t>All Load Types Average</t>
  </si>
  <si>
    <t>Load Type</t>
  </si>
  <si>
    <t>Electricity rates | Ontario Energy Board</t>
  </si>
  <si>
    <t>Two Small + 1 Medium PV Farms</t>
  </si>
  <si>
    <t>One large PV Farm</t>
  </si>
  <si>
    <t>Bus 4  = 105.263 MVAR</t>
  </si>
  <si>
    <t>Three small PV Farms</t>
  </si>
  <si>
    <t>Bus 4 = 52.632 MVAR</t>
  </si>
  <si>
    <t>Bus 9 = 10.526 MVAR</t>
  </si>
  <si>
    <t>Bus 14 = 10.526 MVAR</t>
  </si>
  <si>
    <t>hour</t>
  </si>
  <si>
    <t>One large PV - CLOUDY</t>
  </si>
  <si>
    <t>One large PV - SUNNY</t>
  </si>
  <si>
    <t>Three small PVs - SUNNY</t>
  </si>
  <si>
    <t>Bus 4</t>
  </si>
  <si>
    <t>Bus 9</t>
  </si>
  <si>
    <t>Bus 14</t>
  </si>
  <si>
    <t>Three small PVs - Cloudy</t>
  </si>
  <si>
    <t>Situation</t>
  </si>
  <si>
    <t>One large PV - AVG</t>
  </si>
  <si>
    <t>Three small PVs - AVG</t>
  </si>
  <si>
    <t>Two small, 1 medium PV - SUNNY</t>
  </si>
  <si>
    <t>Two small, 1 medium PV - CLOUDY</t>
  </si>
  <si>
    <t>Two small, 1 medium PV - AVG</t>
  </si>
  <si>
    <t>Bus 14  = 0 MVAR</t>
  </si>
  <si>
    <t>Bus 9 =  0 MVAR</t>
  </si>
  <si>
    <t>Bus 4 = 10.526 MVAR</t>
  </si>
  <si>
    <t>Two small + 1 med</t>
  </si>
  <si>
    <t>1 large</t>
  </si>
  <si>
    <t>3 small</t>
  </si>
  <si>
    <t>Annualized % savings based on MW reduction by situation and bus</t>
  </si>
  <si>
    <t>Total</t>
  </si>
  <si>
    <t>Average</t>
  </si>
  <si>
    <t>Overall Average</t>
  </si>
  <si>
    <t>2024-2029 Western CDM Plan_signed.pdf</t>
  </si>
  <si>
    <t>Microsoft Word - 001a Bud Doc 2025-26 -- Operating and Capital Budget -- Draft March 27, 2025</t>
  </si>
  <si>
    <t>Building Info / Floor Plans - Facilities Management - Western University</t>
  </si>
  <si>
    <t>ACEB</t>
  </si>
  <si>
    <t>m^2</t>
  </si>
  <si>
    <t>kwh/m^2</t>
  </si>
  <si>
    <t>kwh (year)</t>
  </si>
  <si>
    <t>mw</t>
  </si>
  <si>
    <t>Entrepreneurship</t>
  </si>
  <si>
    <t>kw</t>
  </si>
  <si>
    <t>Health Sci</t>
  </si>
  <si>
    <t>Power Plant</t>
  </si>
  <si>
    <t>FIMS</t>
  </si>
  <si>
    <t>cost</t>
  </si>
  <si>
    <t>Avg for 2 small + 1 med combo</t>
  </si>
  <si>
    <t>Sources</t>
  </si>
  <si>
    <t>Hours in a year</t>
  </si>
  <si>
    <t>Building</t>
  </si>
  <si>
    <t>Peak Load (MW)</t>
  </si>
  <si>
    <t>Savings %</t>
  </si>
  <si>
    <t>Savings (MW)</t>
  </si>
  <si>
    <t>Savings (kW)</t>
  </si>
  <si>
    <t>Using tiered</t>
  </si>
  <si>
    <t>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</si>
</sst>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0.000%"/>
    <numFmt numFmtId="165" formatCode="0.000"/>
    <numFmt numFmtId="166" formatCode="_-&quot;$&quot;* #,##0_-;\-&quot;$&quot;* #,##0_-;_-&quot;$&quot;* &quot;-&quot;??_-;_-@_-"/>
    <numFmt numFmtId="167" formatCode="0.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5100A2"/>
        <bgColor indexed="64"/>
      </patternFill>
    </fill>
    <fill>
      <patternFill patternType="solid">
        <fgColor rgb="FFEAD5FF"/>
        <bgColor indexed="64"/>
      </patternFill>
    </fill>
    <fill>
      <patternFill patternType="solid">
        <fgColor rgb="FFFFFFE7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77">
    <xf numFmtId="0" fontId="0" fillId="0" borderId="0" xfId="0"/>
    <xf numFmtId="0" fontId="0" fillId="0" borderId="0" xfId="0" applyAlignment="1">
      <alignment horizontal="center"/>
    </xf>
    <xf numFmtId="10" fontId="0" fillId="0" borderId="0" xfId="2" applyNumberFormat="1" applyFont="1" applyAlignment="1">
      <alignment horizontal="center"/>
    </xf>
    <xf numFmtId="10" fontId="0" fillId="0" borderId="0" xfId="2" applyNumberFormat="1" applyFont="1" applyAlignment="1">
      <alignment horizontal="center" vertical="center"/>
    </xf>
    <xf numFmtId="10" fontId="0" fillId="0" borderId="0" xfId="2" applyNumberFormat="1" applyFont="1" applyAlignment="1">
      <alignment vertical="center"/>
    </xf>
    <xf numFmtId="0" fontId="20" fillId="0" borderId="0" xfId="0" applyFont="1" applyAlignment="1">
      <alignment horizontal="left"/>
    </xf>
    <xf numFmtId="165" fontId="0" fillId="0" borderId="0" xfId="0" applyNumberFormat="1" applyAlignment="1">
      <alignment horizontal="center"/>
    </xf>
    <xf numFmtId="165" fontId="0" fillId="0" borderId="0" xfId="2" applyNumberFormat="1" applyFont="1" applyAlignment="1">
      <alignment horizontal="center" vertical="center"/>
    </xf>
    <xf numFmtId="44" fontId="0" fillId="0" borderId="0" xfId="1" applyFont="1" applyBorder="1" applyAlignment="1">
      <alignment horizontal="center" vertical="center"/>
    </xf>
    <xf numFmtId="10" fontId="0" fillId="0" borderId="0" xfId="2" applyNumberFormat="1" applyFont="1" applyBorder="1" applyAlignment="1">
      <alignment horizontal="center"/>
    </xf>
    <xf numFmtId="165" fontId="0" fillId="0" borderId="0" xfId="2" applyNumberFormat="1" applyFont="1" applyBorder="1" applyAlignment="1">
      <alignment horizontal="center" vertical="center"/>
    </xf>
    <xf numFmtId="165" fontId="0" fillId="0" borderId="14" xfId="2" applyNumberFormat="1" applyFont="1" applyBorder="1" applyAlignment="1">
      <alignment horizontal="center" vertical="center"/>
    </xf>
    <xf numFmtId="10" fontId="0" fillId="0" borderId="0" xfId="2" applyNumberFormat="1" applyFont="1" applyBorder="1" applyAlignment="1">
      <alignment horizontal="center" vertical="center"/>
    </xf>
    <xf numFmtId="10" fontId="0" fillId="0" borderId="0" xfId="0" applyNumberFormat="1"/>
    <xf numFmtId="164" fontId="0" fillId="0" borderId="0" xfId="0" applyNumberFormat="1" applyAlignment="1">
      <alignment horizontal="center"/>
    </xf>
    <xf numFmtId="44" fontId="0" fillId="0" borderId="15" xfId="1" applyFont="1" applyBorder="1" applyAlignment="1">
      <alignment horizontal="center" vertical="center"/>
    </xf>
    <xf numFmtId="44" fontId="0" fillId="0" borderId="0" xfId="2" applyNumberFormat="1" applyFont="1" applyBorder="1" applyAlignment="1">
      <alignment horizontal="center" vertical="center"/>
    </xf>
    <xf numFmtId="10" fontId="0" fillId="0" borderId="0" xfId="2" applyNumberFormat="1" applyFont="1" applyBorder="1" applyAlignment="1">
      <alignment vertical="center"/>
    </xf>
    <xf numFmtId="44" fontId="0" fillId="0" borderId="15" xfId="2" applyNumberFormat="1" applyFont="1" applyBorder="1" applyAlignment="1">
      <alignment horizontal="center" vertical="center"/>
    </xf>
    <xf numFmtId="10" fontId="0" fillId="0" borderId="16" xfId="2" applyNumberFormat="1" applyFont="1" applyBorder="1" applyAlignment="1">
      <alignment horizontal="center" vertical="center"/>
    </xf>
    <xf numFmtId="10" fontId="0" fillId="0" borderId="17" xfId="2" applyNumberFormat="1" applyFont="1" applyBorder="1" applyAlignment="1">
      <alignment horizontal="center" vertical="center"/>
    </xf>
    <xf numFmtId="10" fontId="0" fillId="0" borderId="17" xfId="2" applyNumberFormat="1" applyFont="1" applyBorder="1" applyAlignment="1">
      <alignment vertical="center"/>
    </xf>
    <xf numFmtId="165" fontId="0" fillId="0" borderId="17" xfId="2" applyNumberFormat="1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44" fontId="0" fillId="0" borderId="18" xfId="1" applyFont="1" applyBorder="1" applyAlignment="1">
      <alignment horizontal="center" vertical="center"/>
    </xf>
    <xf numFmtId="165" fontId="0" fillId="0" borderId="14" xfId="2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6" xfId="2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44" fontId="0" fillId="0" borderId="14" xfId="1" applyFont="1" applyBorder="1" applyAlignment="1">
      <alignment horizontal="center"/>
    </xf>
    <xf numFmtId="10" fontId="0" fillId="0" borderId="15" xfId="2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10" fontId="0" fillId="0" borderId="18" xfId="2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10" fontId="0" fillId="0" borderId="18" xfId="2" applyNumberFormat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10" fontId="0" fillId="0" borderId="13" xfId="2" applyNumberFormat="1" applyFont="1" applyBorder="1" applyAlignment="1">
      <alignment horizontal="center"/>
    </xf>
    <xf numFmtId="10" fontId="0" fillId="0" borderId="11" xfId="2" applyNumberFormat="1" applyFont="1" applyBorder="1" applyAlignment="1">
      <alignment horizontal="center" vertical="center"/>
    </xf>
    <xf numFmtId="10" fontId="0" fillId="0" borderId="12" xfId="2" applyNumberFormat="1" applyFont="1" applyBorder="1" applyAlignment="1">
      <alignment horizontal="center" vertical="center"/>
    </xf>
    <xf numFmtId="44" fontId="0" fillId="0" borderId="13" xfId="2" applyNumberFormat="1" applyFont="1" applyBorder="1" applyAlignment="1">
      <alignment horizontal="center" vertical="center"/>
    </xf>
    <xf numFmtId="10" fontId="0" fillId="0" borderId="11" xfId="2" applyNumberFormat="1" applyFont="1" applyBorder="1" applyAlignment="1">
      <alignment vertical="center"/>
    </xf>
    <xf numFmtId="10" fontId="0" fillId="0" borderId="12" xfId="2" applyNumberFormat="1" applyFont="1" applyBorder="1" applyAlignment="1">
      <alignment vertical="center"/>
    </xf>
    <xf numFmtId="165" fontId="0" fillId="0" borderId="11" xfId="2" applyNumberFormat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13" fillId="33" borderId="11" xfId="0" applyFont="1" applyFill="1" applyBorder="1" applyAlignment="1">
      <alignment horizontal="center"/>
    </xf>
    <xf numFmtId="0" fontId="13" fillId="33" borderId="13" xfId="0" applyFont="1" applyFill="1" applyBorder="1" applyAlignment="1">
      <alignment horizontal="center"/>
    </xf>
    <xf numFmtId="0" fontId="0" fillId="34" borderId="16" xfId="0" applyFill="1" applyBorder="1" applyAlignment="1">
      <alignment horizontal="center"/>
    </xf>
    <xf numFmtId="0" fontId="0" fillId="34" borderId="18" xfId="0" applyFill="1" applyBorder="1" applyAlignment="1">
      <alignment horizontal="center"/>
    </xf>
    <xf numFmtId="44" fontId="0" fillId="0" borderId="17" xfId="2" applyNumberFormat="1" applyFont="1" applyBorder="1" applyAlignment="1">
      <alignment horizontal="center" vertical="center"/>
    </xf>
    <xf numFmtId="44" fontId="0" fillId="0" borderId="18" xfId="2" applyNumberFormat="1" applyFont="1" applyBorder="1" applyAlignment="1">
      <alignment horizontal="center" vertical="center"/>
    </xf>
    <xf numFmtId="44" fontId="0" fillId="0" borderId="28" xfId="2" applyNumberFormat="1" applyFont="1" applyBorder="1" applyAlignment="1">
      <alignment horizontal="center" vertical="center"/>
    </xf>
    <xf numFmtId="44" fontId="0" fillId="0" borderId="29" xfId="2" applyNumberFormat="1" applyFont="1" applyBorder="1" applyAlignment="1">
      <alignment horizontal="center" vertical="center"/>
    </xf>
    <xf numFmtId="44" fontId="0" fillId="0" borderId="30" xfId="2" applyNumberFormat="1" applyFont="1" applyBorder="1" applyAlignment="1">
      <alignment horizontal="center" vertical="center"/>
    </xf>
    <xf numFmtId="44" fontId="0" fillId="0" borderId="31" xfId="2" applyNumberFormat="1" applyFont="1" applyBorder="1" applyAlignment="1">
      <alignment horizontal="center" vertical="center"/>
    </xf>
    <xf numFmtId="44" fontId="0" fillId="0" borderId="32" xfId="2" applyNumberFormat="1" applyFont="1" applyBorder="1" applyAlignment="1">
      <alignment horizontal="center" vertical="center"/>
    </xf>
    <xf numFmtId="44" fontId="0" fillId="0" borderId="33" xfId="2" applyNumberFormat="1" applyFont="1" applyBorder="1" applyAlignment="1">
      <alignment horizontal="center" vertical="center"/>
    </xf>
    <xf numFmtId="10" fontId="0" fillId="0" borderId="10" xfId="2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10" fontId="0" fillId="0" borderId="10" xfId="2" applyNumberFormat="1" applyFont="1" applyBorder="1" applyAlignment="1">
      <alignment horizontal="center" vertical="center" wrapText="1"/>
    </xf>
    <xf numFmtId="10" fontId="0" fillId="0" borderId="25" xfId="2" applyNumberFormat="1" applyFont="1" applyBorder="1" applyAlignment="1">
      <alignment horizontal="center" vertical="center" wrapText="1"/>
    </xf>
    <xf numFmtId="10" fontId="0" fillId="0" borderId="26" xfId="2" applyNumberFormat="1" applyFont="1" applyBorder="1" applyAlignment="1">
      <alignment horizontal="center" vertical="center" wrapText="1"/>
    </xf>
    <xf numFmtId="10" fontId="0" fillId="0" borderId="27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19" fillId="0" borderId="0" xfId="44"/>
    <xf numFmtId="0" fontId="13" fillId="33" borderId="14" xfId="0" applyFont="1" applyFill="1" applyBorder="1" applyAlignment="1">
      <alignment horizontal="center"/>
    </xf>
    <xf numFmtId="0" fontId="13" fillId="33" borderId="15" xfId="0" applyFont="1" applyFill="1" applyBorder="1" applyAlignment="1">
      <alignment horizontal="center"/>
    </xf>
    <xf numFmtId="10" fontId="0" fillId="0" borderId="12" xfId="2" applyNumberFormat="1" applyFont="1" applyBorder="1" applyAlignment="1">
      <alignment horizontal="center"/>
    </xf>
    <xf numFmtId="10" fontId="0" fillId="0" borderId="17" xfId="2" applyNumberFormat="1" applyFon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0" fontId="0" fillId="0" borderId="0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13" fillId="35" borderId="11" xfId="0" applyNumberFormat="1" applyFont="1" applyFill="1" applyBorder="1" applyAlignment="1">
      <alignment horizontal="center"/>
    </xf>
    <xf numFmtId="165" fontId="13" fillId="35" borderId="12" xfId="0" applyNumberFormat="1" applyFont="1" applyFill="1" applyBorder="1" applyAlignment="1">
      <alignment horizontal="center"/>
    </xf>
    <xf numFmtId="165" fontId="13" fillId="35" borderId="13" xfId="0" applyNumberFormat="1" applyFont="1" applyFill="1" applyBorder="1" applyAlignment="1">
      <alignment horizontal="center"/>
    </xf>
    <xf numFmtId="165" fontId="13" fillId="42" borderId="12" xfId="0" applyNumberFormat="1" applyFont="1" applyFill="1" applyBorder="1" applyAlignment="1">
      <alignment horizontal="center"/>
    </xf>
    <xf numFmtId="165" fontId="13" fillId="42" borderId="13" xfId="0" applyNumberFormat="1" applyFont="1" applyFill="1" applyBorder="1" applyAlignment="1">
      <alignment horizontal="center"/>
    </xf>
    <xf numFmtId="10" fontId="0" fillId="0" borderId="0" xfId="2" applyNumberFormat="1" applyFont="1" applyBorder="1" applyAlignment="1">
      <alignment horizontal="left" vertical="center"/>
    </xf>
    <xf numFmtId="10" fontId="16" fillId="0" borderId="20" xfId="2" applyNumberFormat="1" applyFont="1" applyBorder="1" applyAlignment="1">
      <alignment horizontal="center" vertical="center"/>
    </xf>
    <xf numFmtId="10" fontId="16" fillId="0" borderId="21" xfId="2" applyNumberFormat="1" applyFont="1" applyBorder="1" applyAlignment="1">
      <alignment horizontal="center" vertical="center"/>
    </xf>
    <xf numFmtId="10" fontId="16" fillId="0" borderId="23" xfId="2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10" fontId="16" fillId="0" borderId="24" xfId="2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165" fontId="13" fillId="42" borderId="11" xfId="0" applyNumberFormat="1" applyFont="1" applyFill="1" applyBorder="1" applyAlignment="1">
      <alignment horizontal="center"/>
    </xf>
    <xf numFmtId="10" fontId="13" fillId="35" borderId="11" xfId="2" applyNumberFormat="1" applyFont="1" applyFill="1" applyBorder="1" applyAlignment="1">
      <alignment horizontal="center"/>
    </xf>
    <xf numFmtId="10" fontId="13" fillId="35" borderId="12" xfId="2" applyNumberFormat="1" applyFont="1" applyFill="1" applyBorder="1" applyAlignment="1">
      <alignment horizontal="center"/>
    </xf>
    <xf numFmtId="10" fontId="13" fillId="35" borderId="13" xfId="2" applyNumberFormat="1" applyFont="1" applyFill="1" applyBorder="1" applyAlignment="1">
      <alignment horizontal="center"/>
    </xf>
    <xf numFmtId="10" fontId="13" fillId="42" borderId="11" xfId="2" applyNumberFormat="1" applyFont="1" applyFill="1" applyBorder="1" applyAlignment="1">
      <alignment horizontal="center"/>
    </xf>
    <xf numFmtId="10" fontId="13" fillId="42" borderId="12" xfId="2" applyNumberFormat="1" applyFont="1" applyFill="1" applyBorder="1" applyAlignment="1">
      <alignment horizontal="center"/>
    </xf>
    <xf numFmtId="10" fontId="13" fillId="42" borderId="13" xfId="2" applyNumberFormat="1" applyFont="1" applyFill="1" applyBorder="1" applyAlignment="1">
      <alignment horizontal="center"/>
    </xf>
    <xf numFmtId="10" fontId="0" fillId="0" borderId="16" xfId="2" applyNumberFormat="1" applyFont="1" applyBorder="1" applyAlignment="1">
      <alignment horizontal="center"/>
    </xf>
    <xf numFmtId="10" fontId="0" fillId="0" borderId="14" xfId="2" applyNumberFormat="1" applyFont="1" applyBorder="1" applyAlignment="1">
      <alignment horizontal="center"/>
    </xf>
    <xf numFmtId="10" fontId="0" fillId="0" borderId="11" xfId="2" applyNumberFormat="1" applyFont="1" applyBorder="1" applyAlignment="1">
      <alignment horizontal="center"/>
    </xf>
    <xf numFmtId="10" fontId="0" fillId="0" borderId="14" xfId="0" applyNumberForma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10" fontId="0" fillId="0" borderId="17" xfId="0" applyNumberFormat="1" applyBorder="1" applyAlignment="1">
      <alignment horizontal="center"/>
    </xf>
    <xf numFmtId="10" fontId="0" fillId="0" borderId="18" xfId="0" applyNumberFormat="1" applyBorder="1" applyAlignment="1">
      <alignment horizontal="center"/>
    </xf>
    <xf numFmtId="44" fontId="0" fillId="0" borderId="0" xfId="1" applyFont="1" applyAlignment="1">
      <alignment horizontal="center"/>
    </xf>
    <xf numFmtId="0" fontId="16" fillId="0" borderId="0" xfId="0" applyFont="1"/>
    <xf numFmtId="0" fontId="2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166" fontId="0" fillId="0" borderId="0" xfId="1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44" fontId="0" fillId="0" borderId="17" xfId="1" applyFont="1" applyBorder="1" applyAlignment="1">
      <alignment horizontal="center" vertical="center"/>
    </xf>
    <xf numFmtId="10" fontId="16" fillId="0" borderId="11" xfId="2" applyNumberFormat="1" applyFont="1" applyBorder="1" applyAlignment="1">
      <alignment horizontal="center" vertical="center"/>
    </xf>
    <xf numFmtId="44" fontId="0" fillId="0" borderId="12" xfId="2" applyNumberFormat="1" applyFont="1" applyBorder="1" applyAlignment="1">
      <alignment horizontal="center" vertical="center"/>
    </xf>
    <xf numFmtId="10" fontId="0" fillId="0" borderId="19" xfId="2" applyNumberFormat="1" applyFont="1" applyBorder="1" applyAlignment="1">
      <alignment horizontal="center" vertical="center"/>
    </xf>
    <xf numFmtId="10" fontId="0" fillId="0" borderId="21" xfId="2" applyNumberFormat="1" applyFont="1" applyBorder="1" applyAlignment="1">
      <alignment horizontal="center" vertical="center"/>
    </xf>
    <xf numFmtId="44" fontId="0" fillId="0" borderId="11" xfId="2" applyNumberFormat="1" applyFont="1" applyBorder="1" applyAlignment="1">
      <alignment horizontal="center" vertical="center"/>
    </xf>
    <xf numFmtId="44" fontId="0" fillId="0" borderId="14" xfId="2" applyNumberFormat="1" applyFont="1" applyBorder="1" applyAlignment="1">
      <alignment horizontal="center" vertical="center"/>
    </xf>
    <xf numFmtId="44" fontId="0" fillId="0" borderId="16" xfId="2" applyNumberFormat="1" applyFont="1" applyBorder="1" applyAlignment="1">
      <alignment horizontal="center" vertical="center"/>
    </xf>
    <xf numFmtId="44" fontId="0" fillId="0" borderId="20" xfId="2" applyNumberFormat="1" applyFont="1" applyBorder="1" applyAlignment="1">
      <alignment horizontal="center" vertical="center"/>
    </xf>
    <xf numFmtId="10" fontId="0" fillId="0" borderId="20" xfId="2" applyNumberFormat="1" applyFont="1" applyBorder="1" applyAlignment="1">
      <alignment horizontal="center" vertical="center"/>
    </xf>
    <xf numFmtId="10" fontId="16" fillId="0" borderId="10" xfId="2" applyNumberFormat="1" applyFont="1" applyBorder="1" applyAlignment="1">
      <alignment horizontal="center" vertical="center"/>
    </xf>
    <xf numFmtId="165" fontId="16" fillId="38" borderId="12" xfId="2" applyNumberFormat="1" applyFont="1" applyFill="1" applyBorder="1" applyAlignment="1">
      <alignment horizontal="center" vertical="center"/>
    </xf>
    <xf numFmtId="165" fontId="16" fillId="38" borderId="13" xfId="2" applyNumberFormat="1" applyFont="1" applyFill="1" applyBorder="1" applyAlignment="1">
      <alignment horizontal="center" vertical="center"/>
    </xf>
    <xf numFmtId="165" fontId="18" fillId="45" borderId="14" xfId="2" applyNumberFormat="1" applyFont="1" applyFill="1" applyBorder="1" applyAlignment="1">
      <alignment horizontal="center" vertical="center"/>
    </xf>
    <xf numFmtId="165" fontId="18" fillId="45" borderId="0" xfId="2" applyNumberFormat="1" applyFont="1" applyFill="1" applyBorder="1" applyAlignment="1">
      <alignment horizontal="center" vertical="center"/>
    </xf>
    <xf numFmtId="165" fontId="18" fillId="45" borderId="15" xfId="2" applyNumberFormat="1" applyFont="1" applyFill="1" applyBorder="1" applyAlignment="1">
      <alignment horizontal="center" vertical="center"/>
    </xf>
    <xf numFmtId="10" fontId="21" fillId="43" borderId="11" xfId="2" applyNumberFormat="1" applyFont="1" applyFill="1" applyBorder="1" applyAlignment="1">
      <alignment horizontal="center" vertical="center"/>
    </xf>
    <xf numFmtId="10" fontId="21" fillId="43" borderId="12" xfId="2" applyNumberFormat="1" applyFont="1" applyFill="1" applyBorder="1" applyAlignment="1">
      <alignment horizontal="center" vertical="center"/>
    </xf>
    <xf numFmtId="10" fontId="21" fillId="43" borderId="13" xfId="2" applyNumberFormat="1" applyFont="1" applyFill="1" applyBorder="1" applyAlignment="1">
      <alignment horizontal="center" vertical="center"/>
    </xf>
    <xf numFmtId="10" fontId="18" fillId="44" borderId="14" xfId="2" applyNumberFormat="1" applyFont="1" applyFill="1" applyBorder="1" applyAlignment="1">
      <alignment horizontal="center" vertical="center"/>
    </xf>
    <xf numFmtId="10" fontId="18" fillId="44" borderId="0" xfId="2" applyNumberFormat="1" applyFont="1" applyFill="1" applyBorder="1" applyAlignment="1">
      <alignment horizontal="center" vertical="center"/>
    </xf>
    <xf numFmtId="10" fontId="18" fillId="44" borderId="15" xfId="2" applyNumberFormat="1" applyFont="1" applyFill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10" fontId="21" fillId="39" borderId="11" xfId="2" applyNumberFormat="1" applyFont="1" applyFill="1" applyBorder="1" applyAlignment="1">
      <alignment horizontal="center" vertical="center"/>
    </xf>
    <xf numFmtId="10" fontId="21" fillId="39" borderId="12" xfId="2" applyNumberFormat="1" applyFont="1" applyFill="1" applyBorder="1" applyAlignment="1">
      <alignment horizontal="center" vertical="center"/>
    </xf>
    <xf numFmtId="10" fontId="21" fillId="39" borderId="13" xfId="2" applyNumberFormat="1" applyFont="1" applyFill="1" applyBorder="1" applyAlignment="1">
      <alignment horizontal="center" vertical="center"/>
    </xf>
    <xf numFmtId="10" fontId="21" fillId="35" borderId="11" xfId="2" applyNumberFormat="1" applyFont="1" applyFill="1" applyBorder="1" applyAlignment="1">
      <alignment horizontal="center" vertical="center"/>
    </xf>
    <xf numFmtId="10" fontId="21" fillId="35" borderId="12" xfId="2" applyNumberFormat="1" applyFont="1" applyFill="1" applyBorder="1" applyAlignment="1">
      <alignment horizontal="center" vertical="center"/>
    </xf>
    <xf numFmtId="10" fontId="21" fillId="35" borderId="13" xfId="2" applyNumberFormat="1" applyFont="1" applyFill="1" applyBorder="1" applyAlignment="1">
      <alignment horizontal="center" vertical="center"/>
    </xf>
    <xf numFmtId="10" fontId="18" fillId="40" borderId="14" xfId="2" applyNumberFormat="1" applyFont="1" applyFill="1" applyBorder="1" applyAlignment="1">
      <alignment horizontal="center" vertical="center"/>
    </xf>
    <xf numFmtId="10" fontId="18" fillId="40" borderId="0" xfId="2" applyNumberFormat="1" applyFont="1" applyFill="1" applyBorder="1" applyAlignment="1">
      <alignment horizontal="center" vertical="center"/>
    </xf>
    <xf numFmtId="10" fontId="18" fillId="40" borderId="15" xfId="2" applyNumberFormat="1" applyFont="1" applyFill="1" applyBorder="1" applyAlignment="1">
      <alignment horizontal="center" vertical="center"/>
    </xf>
    <xf numFmtId="10" fontId="18" fillId="41" borderId="14" xfId="2" applyNumberFormat="1" applyFont="1" applyFill="1" applyBorder="1" applyAlignment="1">
      <alignment horizontal="center" vertical="center"/>
    </xf>
    <xf numFmtId="10" fontId="18" fillId="41" borderId="0" xfId="2" applyNumberFormat="1" applyFont="1" applyFill="1" applyBorder="1" applyAlignment="1">
      <alignment horizontal="center" vertical="center"/>
    </xf>
    <xf numFmtId="10" fontId="18" fillId="41" borderId="15" xfId="2" applyNumberFormat="1" applyFont="1" applyFill="1" applyBorder="1" applyAlignment="1">
      <alignment horizontal="center" vertical="center"/>
    </xf>
    <xf numFmtId="10" fontId="13" fillId="37" borderId="11" xfId="2" applyNumberFormat="1" applyFont="1" applyFill="1" applyBorder="1" applyAlignment="1">
      <alignment horizontal="center" vertical="center"/>
    </xf>
    <xf numFmtId="10" fontId="13" fillId="37" borderId="12" xfId="2" applyNumberFormat="1" applyFont="1" applyFill="1" applyBorder="1" applyAlignment="1">
      <alignment horizontal="center" vertical="center"/>
    </xf>
    <xf numFmtId="10" fontId="13" fillId="37" borderId="13" xfId="2" applyNumberFormat="1" applyFont="1" applyFill="1" applyBorder="1" applyAlignment="1">
      <alignment horizontal="center" vertical="center"/>
    </xf>
    <xf numFmtId="10" fontId="13" fillId="35" borderId="11" xfId="2" applyNumberFormat="1" applyFont="1" applyFill="1" applyBorder="1" applyAlignment="1">
      <alignment horizontal="center" vertical="center"/>
    </xf>
    <xf numFmtId="10" fontId="13" fillId="35" borderId="12" xfId="2" applyNumberFormat="1" applyFont="1" applyFill="1" applyBorder="1" applyAlignment="1">
      <alignment horizontal="center" vertical="center"/>
    </xf>
    <xf numFmtId="10" fontId="13" fillId="35" borderId="13" xfId="2" applyNumberFormat="1" applyFont="1" applyFill="1" applyBorder="1" applyAlignment="1">
      <alignment horizontal="center" vertical="center"/>
    </xf>
    <xf numFmtId="10" fontId="13" fillId="36" borderId="11" xfId="2" applyNumberFormat="1" applyFont="1" applyFill="1" applyBorder="1" applyAlignment="1">
      <alignment horizontal="center" vertical="center"/>
    </xf>
    <xf numFmtId="10" fontId="13" fillId="36" borderId="12" xfId="2" applyNumberFormat="1" applyFont="1" applyFill="1" applyBorder="1" applyAlignment="1">
      <alignment horizontal="center" vertical="center"/>
    </xf>
    <xf numFmtId="10" fontId="13" fillId="36" borderId="13" xfId="2" applyNumberFormat="1" applyFont="1" applyFill="1" applyBorder="1" applyAlignment="1">
      <alignment horizontal="center" vertical="center"/>
    </xf>
    <xf numFmtId="165" fontId="0" fillId="0" borderId="16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5" fontId="13" fillId="39" borderId="11" xfId="0" applyNumberFormat="1" applyFont="1" applyFill="1" applyBorder="1" applyAlignment="1">
      <alignment horizontal="center"/>
    </xf>
    <xf numFmtId="165" fontId="13" fillId="39" borderId="12" xfId="0" applyNumberFormat="1" applyFont="1" applyFill="1" applyBorder="1" applyAlignment="1">
      <alignment horizontal="center"/>
    </xf>
    <xf numFmtId="165" fontId="13" fillId="39" borderId="13" xfId="0" applyNumberFormat="1" applyFont="1" applyFill="1" applyBorder="1" applyAlignment="1">
      <alignment horizontal="center"/>
    </xf>
    <xf numFmtId="0" fontId="16" fillId="38" borderId="11" xfId="0" applyFont="1" applyFill="1" applyBorder="1" applyAlignment="1">
      <alignment horizontal="center"/>
    </xf>
    <xf numFmtId="0" fontId="16" fillId="38" borderId="12" xfId="0" applyFont="1" applyFill="1" applyBorder="1" applyAlignment="1">
      <alignment horizontal="center"/>
    </xf>
    <xf numFmtId="0" fontId="16" fillId="38" borderId="13" xfId="0" applyFont="1" applyFill="1" applyBorder="1" applyAlignment="1">
      <alignment horizontal="center"/>
    </xf>
    <xf numFmtId="10" fontId="0" fillId="0" borderId="16" xfId="2" applyNumberFormat="1" applyFont="1" applyBorder="1" applyAlignment="1">
      <alignment horizontal="center"/>
    </xf>
    <xf numFmtId="10" fontId="0" fillId="0" borderId="17" xfId="2" applyNumberFormat="1" applyFont="1" applyBorder="1" applyAlignment="1">
      <alignment horizontal="center"/>
    </xf>
    <xf numFmtId="10" fontId="0" fillId="0" borderId="18" xfId="2" applyNumberFormat="1" applyFont="1" applyBorder="1" applyAlignment="1">
      <alignment horizontal="center"/>
    </xf>
    <xf numFmtId="10" fontId="0" fillId="0" borderId="22" xfId="2" applyNumberFormat="1" applyFont="1" applyBorder="1" applyAlignment="1">
      <alignment horizontal="center"/>
    </xf>
    <xf numFmtId="10" fontId="0" fillId="0" borderId="23" xfId="2" applyNumberFormat="1" applyFont="1" applyBorder="1" applyAlignment="1">
      <alignment horizontal="center"/>
    </xf>
    <xf numFmtId="10" fontId="0" fillId="0" borderId="24" xfId="2" applyNumberFormat="1" applyFont="1" applyBorder="1" applyAlignment="1">
      <alignment horizontal="center"/>
    </xf>
    <xf numFmtId="10" fontId="13" fillId="39" borderId="11" xfId="2" applyNumberFormat="1" applyFont="1" applyFill="1" applyBorder="1" applyAlignment="1">
      <alignment horizontal="center"/>
    </xf>
    <xf numFmtId="10" fontId="13" fillId="39" borderId="12" xfId="2" applyNumberFormat="1" applyFont="1" applyFill="1" applyBorder="1" applyAlignment="1">
      <alignment horizontal="center"/>
    </xf>
    <xf numFmtId="10" fontId="13" fillId="39" borderId="13" xfId="2" applyNumberFormat="1" applyFont="1" applyFill="1" applyBorder="1" applyAlignment="1">
      <alignment horizontal="center"/>
    </xf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4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colors>
    <mruColors>
      <color rgb="FFFFFFE7"/>
      <color rgb="FF6600CC"/>
      <color rgb="FFEAD5FF"/>
      <color rgb="FF5100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wo.ca/fm/client_services/building_info.html" TargetMode="External"/><Relationship Id="rId2" Type="http://schemas.openxmlformats.org/officeDocument/2006/relationships/hyperlink" Target="https://www.ipb.uwo.ca/documents/2025-26_Capital_Budget.pdf" TargetMode="External"/><Relationship Id="rId1" Type="http://schemas.openxmlformats.org/officeDocument/2006/relationships/hyperlink" Target="https://sustainability.uwo.ca/paces/policy__planning/2024-2029%20Western%20CDM%20Plan_signed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eb.ca/consumer-information-and-protection/electricity-rate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eb.ca/consumer-information-and-protection/electricity-r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67BAE-B83D-4685-983B-05BE10744CA6}">
  <dimension ref="A1:G19"/>
  <sheetViews>
    <sheetView zoomScale="123" zoomScaleNormal="115" workbookViewId="0">
      <selection activeCell="E17" sqref="E17"/>
    </sheetView>
  </sheetViews>
  <sheetFormatPr defaultRowHeight="14.25" x14ac:dyDescent="0.45"/>
  <cols>
    <col min="1" max="1" width="16.46484375" customWidth="1"/>
    <col min="2" max="3" width="8.796875" bestFit="1" customWidth="1"/>
    <col min="4" max="4" width="10.46484375" customWidth="1"/>
    <col min="5" max="5" width="10.796875" customWidth="1"/>
    <col min="6" max="6" width="12.46484375" bestFit="1" customWidth="1"/>
    <col min="7" max="7" width="12.19921875" bestFit="1" customWidth="1"/>
    <col min="8" max="8" width="8.796875" bestFit="1" customWidth="1"/>
  </cols>
  <sheetData>
    <row r="1" spans="1:7" x14ac:dyDescent="0.45">
      <c r="A1" s="107" t="s">
        <v>71</v>
      </c>
    </row>
    <row r="2" spans="1:7" x14ac:dyDescent="0.45">
      <c r="A2" s="67" t="s">
        <v>56</v>
      </c>
    </row>
    <row r="3" spans="1:7" x14ac:dyDescent="0.45">
      <c r="A3" s="67" t="s">
        <v>57</v>
      </c>
    </row>
    <row r="4" spans="1:7" x14ac:dyDescent="0.45">
      <c r="A4" s="67" t="s">
        <v>58</v>
      </c>
    </row>
    <row r="6" spans="1:7" x14ac:dyDescent="0.45">
      <c r="A6" t="s">
        <v>72</v>
      </c>
      <c r="B6">
        <f>24*365</f>
        <v>8760</v>
      </c>
    </row>
    <row r="8" spans="1:7" x14ac:dyDescent="0.45">
      <c r="A8" s="109" t="s">
        <v>73</v>
      </c>
      <c r="B8" s="110" t="s">
        <v>60</v>
      </c>
      <c r="C8" s="110" t="s">
        <v>61</v>
      </c>
      <c r="D8" s="110" t="s">
        <v>62</v>
      </c>
      <c r="E8" s="110" t="s">
        <v>65</v>
      </c>
      <c r="F8" s="110" t="s">
        <v>63</v>
      </c>
      <c r="G8" s="110" t="s">
        <v>69</v>
      </c>
    </row>
    <row r="9" spans="1:7" x14ac:dyDescent="0.45">
      <c r="A9" s="108" t="s">
        <v>59</v>
      </c>
      <c r="B9" s="1">
        <v>9635</v>
      </c>
      <c r="C9" s="1">
        <v>150.04</v>
      </c>
      <c r="D9" s="1">
        <f>B9*C9</f>
        <v>1445635.4</v>
      </c>
      <c r="E9" s="112">
        <f>D9/8760</f>
        <v>165.02687214611871</v>
      </c>
      <c r="F9" s="6">
        <f>E9/1000</f>
        <v>0.16502687214611872</v>
      </c>
      <c r="G9" s="111">
        <f>D9*0.142</f>
        <v>205280.22679999997</v>
      </c>
    </row>
    <row r="10" spans="1:7" x14ac:dyDescent="0.45">
      <c r="A10" s="108" t="s">
        <v>64</v>
      </c>
      <c r="B10" s="1">
        <v>9710</v>
      </c>
      <c r="C10" s="1">
        <v>150.04</v>
      </c>
      <c r="D10" s="1">
        <f>B10*C10</f>
        <v>1456888.4</v>
      </c>
      <c r="E10" s="112">
        <f>D10/8760</f>
        <v>166.3114611872146</v>
      </c>
      <c r="F10" s="6">
        <f>E10/1000</f>
        <v>0.1663114611872146</v>
      </c>
      <c r="G10" s="111">
        <f t="shared" ref="G10:G13" si="0">D10*0.142</f>
        <v>206878.15279999998</v>
      </c>
    </row>
    <row r="11" spans="1:7" x14ac:dyDescent="0.45">
      <c r="A11" s="108" t="s">
        <v>66</v>
      </c>
      <c r="B11" s="1">
        <v>7657</v>
      </c>
      <c r="C11" s="1">
        <v>150.04</v>
      </c>
      <c r="D11" s="1">
        <f>B11*C11</f>
        <v>1148856.28</v>
      </c>
      <c r="E11" s="112">
        <f>D11/8760</f>
        <v>131.14797716894978</v>
      </c>
      <c r="F11" s="6">
        <f>E11/1000</f>
        <v>0.13114797716894977</v>
      </c>
      <c r="G11" s="111">
        <f t="shared" si="0"/>
        <v>163137.59175999998</v>
      </c>
    </row>
    <row r="12" spans="1:7" x14ac:dyDescent="0.45">
      <c r="A12" s="108" t="s">
        <v>68</v>
      </c>
      <c r="B12" s="1">
        <v>12917</v>
      </c>
      <c r="C12" s="1">
        <v>150.04</v>
      </c>
      <c r="D12" s="1">
        <f>B12*C12</f>
        <v>1938066.68</v>
      </c>
      <c r="E12" s="112">
        <f>D12/8760</f>
        <v>221.24048858447489</v>
      </c>
      <c r="F12" s="6">
        <f>E12/1000</f>
        <v>0.2212404885844749</v>
      </c>
      <c r="G12" s="111">
        <f t="shared" si="0"/>
        <v>275205.46855999995</v>
      </c>
    </row>
    <row r="13" spans="1:7" x14ac:dyDescent="0.45">
      <c r="A13" s="108" t="s">
        <v>67</v>
      </c>
      <c r="B13" s="1">
        <v>2275</v>
      </c>
      <c r="C13" s="1">
        <v>150.04</v>
      </c>
      <c r="D13" s="1">
        <f>B13*C13</f>
        <v>341341</v>
      </c>
      <c r="E13" s="112">
        <f>D13/8760</f>
        <v>38.965867579908675</v>
      </c>
      <c r="F13" s="6">
        <f>E13/1000</f>
        <v>3.8965867579908678E-2</v>
      </c>
      <c r="G13" s="111">
        <f t="shared" si="0"/>
        <v>48470.421999999999</v>
      </c>
    </row>
    <row r="14" spans="1:7" x14ac:dyDescent="0.45">
      <c r="A14" s="108" t="s">
        <v>79</v>
      </c>
      <c r="B14" s="1">
        <v>10919</v>
      </c>
      <c r="C14" s="1">
        <v>150.04</v>
      </c>
      <c r="D14" s="1">
        <f>B14*C14</f>
        <v>1638286.76</v>
      </c>
      <c r="E14" s="112">
        <f>D14/8760</f>
        <v>187.01903652968036</v>
      </c>
      <c r="F14" s="6">
        <f>E14/1000</f>
        <v>0.18701903652968035</v>
      </c>
      <c r="G14" s="111">
        <f t="shared" ref="G14" si="1">D14*0.142</f>
        <v>232636.71991999997</v>
      </c>
    </row>
    <row r="15" spans="1:7" x14ac:dyDescent="0.45">
      <c r="A15" s="108"/>
      <c r="B15" s="1"/>
    </row>
    <row r="16" spans="1:7" x14ac:dyDescent="0.45">
      <c r="A16" t="s">
        <v>74</v>
      </c>
      <c r="B16" s="1">
        <v>10</v>
      </c>
    </row>
    <row r="17" spans="1:2" x14ac:dyDescent="0.45">
      <c r="A17" t="s">
        <v>75</v>
      </c>
      <c r="B17" s="13">
        <v>2.9399999999999999E-2</v>
      </c>
    </row>
    <row r="18" spans="1:2" x14ac:dyDescent="0.45">
      <c r="A18" t="s">
        <v>76</v>
      </c>
      <c r="B18">
        <f>B16*B17</f>
        <v>0.29399999999999998</v>
      </c>
    </row>
    <row r="19" spans="1:2" x14ac:dyDescent="0.45">
      <c r="A19" t="s">
        <v>77</v>
      </c>
      <c r="B19">
        <f>B18*1000</f>
        <v>294</v>
      </c>
    </row>
  </sheetData>
  <hyperlinks>
    <hyperlink ref="A2" r:id="rId1" display="https://sustainability.uwo.ca/paces/policy__planning/2024-2029 Western CDM Plan_signed.pdf" xr:uid="{68D766BF-36C4-488B-B699-39431B5B9435}"/>
    <hyperlink ref="A3" r:id="rId2" display="https://www.ipb.uwo.ca/documents/2025-26_Capital_Budget.pdf" xr:uid="{76AC33A3-1070-4BFA-99D8-F16DF9A4D02D}"/>
    <hyperlink ref="A4" r:id="rId3" display="https://www.uwo.ca/fm/client_services/building_info.html" xr:uid="{CEFED3F8-AD85-40D2-9BA2-11D2BB8D78E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8FD65-90EB-4BAE-9853-5B6A783BB63A}">
  <sheetPr codeName="Sheet1"/>
  <dimension ref="A1:U36"/>
  <sheetViews>
    <sheetView topLeftCell="C1" zoomScale="78" zoomScaleNormal="85" workbookViewId="0">
      <selection activeCell="D28" sqref="D28"/>
    </sheetView>
  </sheetViews>
  <sheetFormatPr defaultRowHeight="14.25" x14ac:dyDescent="0.45"/>
  <cols>
    <col min="1" max="1" width="23.06640625" style="1" customWidth="1"/>
    <col min="2" max="2" width="20.46484375" style="1" bestFit="1" customWidth="1"/>
    <col min="3" max="3" width="20.46484375" style="1" customWidth="1"/>
    <col min="4" max="4" width="18.46484375" style="3" customWidth="1"/>
    <col min="5" max="6" width="16.06640625" style="3" customWidth="1"/>
    <col min="7" max="7" width="15.73046875" style="4" customWidth="1"/>
    <col min="8" max="9" width="15.73046875" style="3" customWidth="1"/>
    <col min="10" max="12" width="17.265625" style="4" customWidth="1"/>
    <col min="13" max="15" width="16.796875" style="4" customWidth="1"/>
    <col min="16" max="16" width="15" style="7" customWidth="1"/>
    <col min="17" max="18" width="15.19921875" style="1" customWidth="1"/>
    <col min="19" max="19" width="20.06640625" style="6" bestFit="1" customWidth="1"/>
    <col min="20" max="20" width="15.19921875" style="1" customWidth="1"/>
    <col min="21" max="21" width="15.19921875" customWidth="1"/>
  </cols>
  <sheetData>
    <row r="1" spans="1:21" x14ac:dyDescent="0.45">
      <c r="A1" s="135" t="s">
        <v>0</v>
      </c>
      <c r="B1" s="48" t="s">
        <v>12</v>
      </c>
      <c r="C1" s="49" t="s">
        <v>14</v>
      </c>
      <c r="D1" s="153" t="s">
        <v>8</v>
      </c>
      <c r="E1" s="154"/>
      <c r="F1" s="155"/>
      <c r="G1" s="156" t="s">
        <v>3</v>
      </c>
      <c r="H1" s="157"/>
      <c r="I1" s="158"/>
      <c r="J1" s="150" t="s">
        <v>4</v>
      </c>
      <c r="K1" s="151"/>
      <c r="L1" s="152"/>
      <c r="M1" s="150" t="s">
        <v>5</v>
      </c>
      <c r="N1" s="151"/>
      <c r="O1" s="152"/>
      <c r="P1" s="150" t="s">
        <v>6</v>
      </c>
      <c r="Q1" s="151"/>
      <c r="R1" s="152"/>
      <c r="S1" s="124" t="s">
        <v>11</v>
      </c>
      <c r="T1" s="124"/>
      <c r="U1" s="125"/>
    </row>
    <row r="2" spans="1:21" ht="14.65" thickBot="1" x14ac:dyDescent="0.5">
      <c r="A2" s="137"/>
      <c r="B2" s="50" t="s">
        <v>13</v>
      </c>
      <c r="C2" s="51" t="s">
        <v>15</v>
      </c>
      <c r="D2" s="19" t="s">
        <v>7</v>
      </c>
      <c r="E2" s="20" t="s">
        <v>1</v>
      </c>
      <c r="F2" s="37" t="s">
        <v>16</v>
      </c>
      <c r="G2" s="19" t="s">
        <v>7</v>
      </c>
      <c r="H2" s="20" t="s">
        <v>1</v>
      </c>
      <c r="I2" s="37" t="s">
        <v>16</v>
      </c>
      <c r="J2" s="19" t="s">
        <v>7</v>
      </c>
      <c r="K2" s="20" t="s">
        <v>1</v>
      </c>
      <c r="L2" s="37" t="s">
        <v>16</v>
      </c>
      <c r="M2" s="19" t="s">
        <v>7</v>
      </c>
      <c r="N2" s="20" t="s">
        <v>1</v>
      </c>
      <c r="O2" s="37" t="s">
        <v>16</v>
      </c>
      <c r="P2" s="28" t="s">
        <v>7</v>
      </c>
      <c r="Q2" s="20" t="s">
        <v>1</v>
      </c>
      <c r="R2" s="37" t="s">
        <v>16</v>
      </c>
      <c r="S2" s="22" t="s">
        <v>7</v>
      </c>
      <c r="T2" s="20" t="s">
        <v>1</v>
      </c>
      <c r="U2" s="37" t="s">
        <v>16</v>
      </c>
    </row>
    <row r="3" spans="1:21" x14ac:dyDescent="0.45">
      <c r="A3" s="35">
        <v>1</v>
      </c>
      <c r="B3" s="30">
        <v>9.8000000000000007</v>
      </c>
      <c r="C3" s="31">
        <v>0.77159999999999995</v>
      </c>
      <c r="D3" s="11">
        <v>-0.41674074074074091</v>
      </c>
      <c r="E3" s="12">
        <v>5.400537037037037E-2</v>
      </c>
      <c r="F3" s="15">
        <f>D3*($B3*1000/100)</f>
        <v>-40.840592592592607</v>
      </c>
      <c r="G3" s="26">
        <v>-0.21522222222222218</v>
      </c>
      <c r="H3" s="9">
        <v>2.7892988593932473E-2</v>
      </c>
      <c r="I3" s="15">
        <f>G3*($B3*1000/100)</f>
        <v>-21.091777777777772</v>
      </c>
      <c r="J3" s="27">
        <v>-0.2216124269697399</v>
      </c>
      <c r="K3" s="14">
        <v>-2.8721154052478867E-2</v>
      </c>
      <c r="L3" s="15">
        <f>J3*($B3*1000/100)</f>
        <v>-21.718017843034509</v>
      </c>
      <c r="M3" s="27">
        <v>-0.2112670121369534</v>
      </c>
      <c r="N3" s="14">
        <v>-2.738037972311411E-2</v>
      </c>
      <c r="O3" s="15">
        <f>M3*($B3*1000/100)</f>
        <v>-20.704167189421433</v>
      </c>
      <c r="P3" s="11">
        <f>AVERAGE(J3,M3)</f>
        <v>-0.21643971955334665</v>
      </c>
      <c r="Q3" s="12">
        <f>AVERAGE(K3,N3)</f>
        <v>-2.8050766887796487E-2</v>
      </c>
      <c r="R3" s="15">
        <f>P3*($B3*1000/100)</f>
        <v>-21.211092516227971</v>
      </c>
      <c r="S3" s="10">
        <f>AVERAGE(D3,G3,J3,M3)</f>
        <v>-0.26621060051741408</v>
      </c>
      <c r="T3" s="12">
        <f>AVERAGE(-E3,-H3,K3,N3)</f>
        <v>-3.4499973184973956E-2</v>
      </c>
      <c r="U3" s="15">
        <f>S3*($B3*1000/100)</f>
        <v>-26.08863885070658</v>
      </c>
    </row>
    <row r="4" spans="1:21" x14ac:dyDescent="0.45">
      <c r="A4" s="35">
        <v>2</v>
      </c>
      <c r="B4" s="30">
        <v>9.8000000000000007</v>
      </c>
      <c r="C4" s="31">
        <v>0.75170000000000003</v>
      </c>
      <c r="D4" s="11">
        <v>-0.43827777777777766</v>
      </c>
      <c r="E4" s="12">
        <v>5.8324999999999988E-2</v>
      </c>
      <c r="F4" s="15">
        <f t="shared" ref="F4:F26" si="0">D4*($B4*1000/100)</f>
        <v>-42.951222222222214</v>
      </c>
      <c r="G4" s="26">
        <v>-0.22700000000000001</v>
      </c>
      <c r="H4" s="9">
        <v>3.0198242918817047E-2</v>
      </c>
      <c r="I4" s="15">
        <f t="shared" ref="I4:I26" si="1">G4*($B4*1000/100)</f>
        <v>-22.246000000000002</v>
      </c>
      <c r="J4" s="27">
        <v>-0.23290700382656479</v>
      </c>
      <c r="K4" s="14">
        <v>-3.0984035876072853E-2</v>
      </c>
      <c r="L4" s="15">
        <f t="shared" ref="L4:L26" si="2">J4*($B4*1000/100)</f>
        <v>-22.824886375003349</v>
      </c>
      <c r="M4" s="27">
        <v>-0.22226572036743122</v>
      </c>
      <c r="N4" s="14">
        <v>-2.956840687802529E-2</v>
      </c>
      <c r="O4" s="15">
        <f t="shared" ref="O4:O26" si="3">M4*($B4*1000/100)</f>
        <v>-21.782040596008262</v>
      </c>
      <c r="P4" s="11">
        <f t="shared" ref="P4:P26" si="4">AVERAGE(J4,M4)</f>
        <v>-0.22758636209699801</v>
      </c>
      <c r="Q4" s="12">
        <f t="shared" ref="Q4:Q26" si="5">AVERAGE(K4,N4)</f>
        <v>-3.0276221377049072E-2</v>
      </c>
      <c r="R4" s="15">
        <f t="shared" ref="R4:R26" si="6">P4*($B4*1000/100)</f>
        <v>-22.303463485505805</v>
      </c>
      <c r="S4" s="10">
        <f t="shared" ref="S4:S26" si="7">AVERAGE(D4,G4,J4,M4)</f>
        <v>-0.28011262549294341</v>
      </c>
      <c r="T4" s="12">
        <f t="shared" ref="T4:T26" si="8">AVERAGE(-E4,-H4,K4,N4)</f>
        <v>-3.7268921418228795E-2</v>
      </c>
      <c r="U4" s="15">
        <f t="shared" ref="U4:U26" si="9">S4*($B4*1000/100)</f>
        <v>-27.451037298308453</v>
      </c>
    </row>
    <row r="5" spans="1:21" x14ac:dyDescent="0.45">
      <c r="A5" s="35">
        <v>3</v>
      </c>
      <c r="B5" s="30">
        <v>9.8000000000000007</v>
      </c>
      <c r="C5" s="31">
        <v>0.74070000000000003</v>
      </c>
      <c r="D5" s="11">
        <v>-0.43455555555555558</v>
      </c>
      <c r="E5" s="12">
        <v>5.8668888888888895E-2</v>
      </c>
      <c r="F5" s="15">
        <f t="shared" si="0"/>
        <v>-42.586444444444446</v>
      </c>
      <c r="G5" s="26">
        <v>-0.22499999999999998</v>
      </c>
      <c r="H5" s="9">
        <v>3.0376679225802086E-2</v>
      </c>
      <c r="I5" s="15">
        <f t="shared" si="1"/>
        <v>-22.049999999999997</v>
      </c>
      <c r="J5" s="27">
        <v>-0.23092087109883602</v>
      </c>
      <c r="K5" s="14">
        <v>-3.1176032007165486E-2</v>
      </c>
      <c r="L5" s="15">
        <f t="shared" si="2"/>
        <v>-22.63024536768593</v>
      </c>
      <c r="M5" s="27">
        <v>-0.22038801511128708</v>
      </c>
      <c r="N5" s="14">
        <v>-2.9754018250539142E-2</v>
      </c>
      <c r="O5" s="15">
        <f t="shared" si="3"/>
        <v>-21.598025480906134</v>
      </c>
      <c r="P5" s="11">
        <f t="shared" si="4"/>
        <v>-0.22565444310506155</v>
      </c>
      <c r="Q5" s="12">
        <f t="shared" si="5"/>
        <v>-3.0465025128852314E-2</v>
      </c>
      <c r="R5" s="15">
        <f t="shared" si="6"/>
        <v>-22.11413542429603</v>
      </c>
      <c r="S5" s="10">
        <f t="shared" si="7"/>
        <v>-0.27771611044141969</v>
      </c>
      <c r="T5" s="12">
        <f t="shared" si="8"/>
        <v>-3.7493904593098905E-2</v>
      </c>
      <c r="U5" s="15">
        <f t="shared" si="9"/>
        <v>-27.216178823259131</v>
      </c>
    </row>
    <row r="6" spans="1:21" x14ac:dyDescent="0.45">
      <c r="A6" s="35">
        <v>4</v>
      </c>
      <c r="B6" s="30">
        <v>9.8000000000000007</v>
      </c>
      <c r="C6" s="31">
        <v>0.73980000000000001</v>
      </c>
      <c r="D6" s="11">
        <v>-0.43416666666666653</v>
      </c>
      <c r="E6" s="12">
        <v>5.8696111111111123E-2</v>
      </c>
      <c r="F6" s="15">
        <f t="shared" si="0"/>
        <v>-42.548333333333318</v>
      </c>
      <c r="G6" s="26">
        <v>-0.2248333333333333</v>
      </c>
      <c r="H6" s="9">
        <v>3.0391065630713095E-2</v>
      </c>
      <c r="I6" s="15">
        <f t="shared" si="1"/>
        <v>-22.033666666666665</v>
      </c>
      <c r="J6" s="27">
        <v>-0.23075575298733142</v>
      </c>
      <c r="K6" s="14">
        <v>-3.1191641033320467E-2</v>
      </c>
      <c r="L6" s="15">
        <f t="shared" si="2"/>
        <v>-22.614063792758479</v>
      </c>
      <c r="M6" s="27">
        <v>-0.22023182445102241</v>
      </c>
      <c r="N6" s="14">
        <v>-2.9769104013483316E-2</v>
      </c>
      <c r="O6" s="15">
        <f t="shared" si="3"/>
        <v>-21.582718796200197</v>
      </c>
      <c r="P6" s="11">
        <f t="shared" si="4"/>
        <v>-0.22549378871917691</v>
      </c>
      <c r="Q6" s="12">
        <f t="shared" si="5"/>
        <v>-3.048037252340189E-2</v>
      </c>
      <c r="R6" s="15">
        <f t="shared" si="6"/>
        <v>-22.098391294479338</v>
      </c>
      <c r="S6" s="10">
        <f t="shared" si="7"/>
        <v>-0.27749689435958841</v>
      </c>
      <c r="T6" s="12">
        <f t="shared" si="8"/>
        <v>-3.7511980447156999E-2</v>
      </c>
      <c r="U6" s="15">
        <f t="shared" si="9"/>
        <v>-27.194695647239666</v>
      </c>
    </row>
    <row r="7" spans="1:21" x14ac:dyDescent="0.45">
      <c r="A7" s="35">
        <v>5</v>
      </c>
      <c r="B7" s="30">
        <v>9.8000000000000007</v>
      </c>
      <c r="C7" s="31">
        <v>0.75629999999999997</v>
      </c>
      <c r="D7" s="11">
        <v>-0.44011111111111101</v>
      </c>
      <c r="E7" s="12">
        <v>5.8182222222222239E-2</v>
      </c>
      <c r="F7" s="15">
        <f t="shared" si="0"/>
        <v>-43.130888888888876</v>
      </c>
      <c r="G7" s="26">
        <v>-0.2127777777777777</v>
      </c>
      <c r="H7" s="9">
        <v>2.8134070354977555E-2</v>
      </c>
      <c r="I7" s="15">
        <f t="shared" si="1"/>
        <v>-20.852222222222213</v>
      </c>
      <c r="J7" s="27">
        <v>-0.23372432920667821</v>
      </c>
      <c r="K7" s="14">
        <v>-3.0903652381146361E-2</v>
      </c>
      <c r="L7" s="15">
        <f t="shared" si="2"/>
        <v>-22.904984262254466</v>
      </c>
      <c r="M7" s="27">
        <v>-0.22303830252753321</v>
      </c>
      <c r="N7" s="14">
        <v>-2.9490717514892347E-2</v>
      </c>
      <c r="O7" s="15">
        <f t="shared" si="3"/>
        <v>-21.857753647698253</v>
      </c>
      <c r="P7" s="11">
        <f t="shared" si="4"/>
        <v>-0.22838131586710569</v>
      </c>
      <c r="Q7" s="12">
        <f t="shared" si="5"/>
        <v>-3.0197184948019352E-2</v>
      </c>
      <c r="R7" s="15">
        <f t="shared" si="6"/>
        <v>-22.381368954976359</v>
      </c>
      <c r="S7" s="10">
        <f t="shared" si="7"/>
        <v>-0.27741288015577503</v>
      </c>
      <c r="T7" s="12">
        <f t="shared" si="8"/>
        <v>-3.6677665618309624E-2</v>
      </c>
      <c r="U7" s="15">
        <f t="shared" si="9"/>
        <v>-27.186462255265955</v>
      </c>
    </row>
    <row r="8" spans="1:21" x14ac:dyDescent="0.45">
      <c r="A8" s="35">
        <v>6</v>
      </c>
      <c r="B8" s="30">
        <v>9.8000000000000007</v>
      </c>
      <c r="C8" s="31">
        <v>0.79859999999999998</v>
      </c>
      <c r="D8" s="11">
        <v>-0.42433333333333351</v>
      </c>
      <c r="E8" s="12">
        <v>5.3146666666666689E-2</v>
      </c>
      <c r="F8" s="15">
        <f t="shared" si="0"/>
        <v>-41.584666666666685</v>
      </c>
      <c r="G8" s="26">
        <v>-0.21927777777777774</v>
      </c>
      <c r="H8" s="9">
        <v>2.7457780754176511E-2</v>
      </c>
      <c r="I8" s="15">
        <f t="shared" si="1"/>
        <v>-21.489222222222217</v>
      </c>
      <c r="J8" s="27">
        <v>-0.22556874487135095</v>
      </c>
      <c r="K8" s="14">
        <v>-2.8245522557898969E-2</v>
      </c>
      <c r="L8" s="15">
        <f t="shared" si="2"/>
        <v>-22.105736997392395</v>
      </c>
      <c r="M8" s="27">
        <v>-0.21498873498704643</v>
      </c>
      <c r="N8" s="14">
        <v>-2.6920702898063777E-2</v>
      </c>
      <c r="O8" s="15">
        <f t="shared" si="3"/>
        <v>-21.068896028730549</v>
      </c>
      <c r="P8" s="11">
        <f t="shared" si="4"/>
        <v>-0.22027873992919869</v>
      </c>
      <c r="Q8" s="12">
        <f t="shared" si="5"/>
        <v>-2.7583112727981373E-2</v>
      </c>
      <c r="R8" s="15">
        <f t="shared" si="6"/>
        <v>-21.58731651306147</v>
      </c>
      <c r="S8" s="10">
        <f t="shared" si="7"/>
        <v>-0.27104214774237717</v>
      </c>
      <c r="T8" s="12">
        <f t="shared" si="8"/>
        <v>-3.3942668219201486E-2</v>
      </c>
      <c r="U8" s="15">
        <f t="shared" si="9"/>
        <v>-26.562130478752962</v>
      </c>
    </row>
    <row r="9" spans="1:21" x14ac:dyDescent="0.45">
      <c r="A9" s="35">
        <v>7</v>
      </c>
      <c r="B9" s="30">
        <v>9.8000000000000007</v>
      </c>
      <c r="C9" s="31">
        <v>0.86260000000000003</v>
      </c>
      <c r="D9" s="11">
        <v>-0.44035185185185199</v>
      </c>
      <c r="E9" s="12">
        <v>5.1048333333333334E-2</v>
      </c>
      <c r="F9" s="15">
        <f t="shared" si="0"/>
        <v>-43.154481481481497</v>
      </c>
      <c r="G9" s="26">
        <v>-0.22737037037037039</v>
      </c>
      <c r="H9" s="9">
        <v>2.6358771588386939E-2</v>
      </c>
      <c r="I9" s="15">
        <f t="shared" si="1"/>
        <v>-22.282296296296298</v>
      </c>
      <c r="J9" s="27">
        <v>-0.23388322194417271</v>
      </c>
      <c r="K9" s="14">
        <v>-2.7113750403490983E-2</v>
      </c>
      <c r="L9" s="15">
        <f t="shared" si="2"/>
        <v>-22.920555750528926</v>
      </c>
      <c r="M9" s="27">
        <v>-0.22257365120781752</v>
      </c>
      <c r="N9" s="14">
        <v>-2.5802647898714667E-2</v>
      </c>
      <c r="O9" s="15">
        <f t="shared" si="3"/>
        <v>-21.812217818366118</v>
      </c>
      <c r="P9" s="11">
        <f t="shared" si="4"/>
        <v>-0.22822843657599512</v>
      </c>
      <c r="Q9" s="12">
        <f t="shared" si="5"/>
        <v>-2.6458199151102826E-2</v>
      </c>
      <c r="R9" s="15">
        <f t="shared" si="6"/>
        <v>-22.366386784447521</v>
      </c>
      <c r="S9" s="10">
        <f t="shared" si="7"/>
        <v>-0.28104477384355314</v>
      </c>
      <c r="T9" s="12">
        <f t="shared" si="8"/>
        <v>-3.2580875805981478E-2</v>
      </c>
      <c r="U9" s="15">
        <f t="shared" si="9"/>
        <v>-27.542387836668208</v>
      </c>
    </row>
    <row r="10" spans="1:21" x14ac:dyDescent="0.45">
      <c r="A10" s="35">
        <v>8</v>
      </c>
      <c r="B10" s="30">
        <v>20.3</v>
      </c>
      <c r="C10" s="31">
        <v>0.90590000000000004</v>
      </c>
      <c r="D10" s="11">
        <v>-0.41414814814814832</v>
      </c>
      <c r="E10" s="12">
        <v>4.5731666666666643E-2</v>
      </c>
      <c r="F10" s="15">
        <f t="shared" si="0"/>
        <v>-84.072074074074109</v>
      </c>
      <c r="G10" s="26">
        <v>-0.21412962962962975</v>
      </c>
      <c r="H10" s="9">
        <v>2.3637227538919482E-2</v>
      </c>
      <c r="I10" s="15">
        <f t="shared" si="1"/>
        <v>-43.468314814814839</v>
      </c>
      <c r="J10" s="27">
        <v>-0.21981209295767284</v>
      </c>
      <c r="K10" s="14">
        <v>-2.4264498574613765E-2</v>
      </c>
      <c r="L10" s="15">
        <f t="shared" si="2"/>
        <v>-44.621854870407589</v>
      </c>
      <c r="M10" s="27">
        <v>-0.20905853200841806</v>
      </c>
      <c r="N10" s="14">
        <v>-2.3077440297635966E-2</v>
      </c>
      <c r="O10" s="15">
        <f t="shared" si="3"/>
        <v>-42.438881997708869</v>
      </c>
      <c r="P10" s="11">
        <f t="shared" si="4"/>
        <v>-0.21443531248304545</v>
      </c>
      <c r="Q10" s="12">
        <f t="shared" si="5"/>
        <v>-2.3670969436124865E-2</v>
      </c>
      <c r="R10" s="15">
        <f t="shared" si="6"/>
        <v>-43.530368434058225</v>
      </c>
      <c r="S10" s="10">
        <f t="shared" si="7"/>
        <v>-0.26428710068596728</v>
      </c>
      <c r="T10" s="12">
        <f t="shared" si="8"/>
        <v>-2.9177708269458962E-2</v>
      </c>
      <c r="U10" s="15">
        <f t="shared" si="9"/>
        <v>-53.650281439251359</v>
      </c>
    </row>
    <row r="11" spans="1:21" x14ac:dyDescent="0.45">
      <c r="A11" s="35">
        <v>9</v>
      </c>
      <c r="B11" s="30">
        <v>20.3</v>
      </c>
      <c r="C11" s="31">
        <v>0.91810000000000003</v>
      </c>
      <c r="D11" s="11">
        <v>-0.41070370370370363</v>
      </c>
      <c r="E11" s="12">
        <v>4.4734629629629624E-2</v>
      </c>
      <c r="F11" s="15">
        <f t="shared" si="0"/>
        <v>-83.372851851851834</v>
      </c>
      <c r="G11" s="26">
        <v>-0.19557407407407404</v>
      </c>
      <c r="H11" s="9">
        <v>2.1302018872864308E-2</v>
      </c>
      <c r="I11" s="15">
        <f t="shared" si="1"/>
        <v>-39.701537037037028</v>
      </c>
      <c r="J11" s="27">
        <v>-0.21777071776213444</v>
      </c>
      <c r="K11" s="14">
        <v>-2.3719717193451804E-2</v>
      </c>
      <c r="L11" s="15">
        <f t="shared" si="2"/>
        <v>-44.207455705713294</v>
      </c>
      <c r="M11" s="27">
        <v>-0.20229977148550504</v>
      </c>
      <c r="N11" s="14">
        <v>-2.2034612445817343E-2</v>
      </c>
      <c r="O11" s="15">
        <f t="shared" si="3"/>
        <v>-41.066853611557526</v>
      </c>
      <c r="P11" s="11">
        <f t="shared" si="4"/>
        <v>-0.21003524462381973</v>
      </c>
      <c r="Q11" s="12">
        <f t="shared" si="5"/>
        <v>-2.2877164819634574E-2</v>
      </c>
      <c r="R11" s="15">
        <f t="shared" si="6"/>
        <v>-42.637154658635403</v>
      </c>
      <c r="S11" s="10">
        <f t="shared" si="7"/>
        <v>-0.25658706675635429</v>
      </c>
      <c r="T11" s="12">
        <f t="shared" si="8"/>
        <v>-2.7947744535440772E-2</v>
      </c>
      <c r="U11" s="15">
        <f t="shared" si="9"/>
        <v>-52.087174551539917</v>
      </c>
    </row>
    <row r="12" spans="1:21" x14ac:dyDescent="0.45">
      <c r="A12" s="35">
        <v>10</v>
      </c>
      <c r="B12" s="30">
        <v>20.3</v>
      </c>
      <c r="C12" s="31">
        <v>0.92300000000000004</v>
      </c>
      <c r="D12" s="11">
        <v>-0.39412962962962944</v>
      </c>
      <c r="E12" s="12">
        <v>4.2697962962962945E-2</v>
      </c>
      <c r="F12" s="15">
        <f t="shared" si="0"/>
        <v>-80.008314814814781</v>
      </c>
      <c r="G12" s="26">
        <v>-0.19255555555555556</v>
      </c>
      <c r="H12" s="9">
        <v>2.0861875093206316E-2</v>
      </c>
      <c r="I12" s="15">
        <f t="shared" si="1"/>
        <v>-39.088777777777779</v>
      </c>
      <c r="J12" s="27">
        <v>-0.20860998718826831</v>
      </c>
      <c r="K12" s="14">
        <v>-2.260129984120501E-2</v>
      </c>
      <c r="L12" s="15">
        <f t="shared" si="2"/>
        <v>-42.347827399218467</v>
      </c>
      <c r="M12" s="27">
        <v>-0.1910825482121217</v>
      </c>
      <c r="N12" s="14">
        <v>-2.0702335610931617E-2</v>
      </c>
      <c r="O12" s="15">
        <f t="shared" si="3"/>
        <v>-38.789757287060702</v>
      </c>
      <c r="P12" s="11">
        <f t="shared" si="4"/>
        <v>-0.19984626770019501</v>
      </c>
      <c r="Q12" s="12">
        <f t="shared" si="5"/>
        <v>-2.1651817726068313E-2</v>
      </c>
      <c r="R12" s="15">
        <f t="shared" si="6"/>
        <v>-40.568792343139584</v>
      </c>
      <c r="S12" s="10">
        <f t="shared" si="7"/>
        <v>-0.24659443014639373</v>
      </c>
      <c r="T12" s="12">
        <f t="shared" si="8"/>
        <v>-2.6715868377076471E-2</v>
      </c>
      <c r="U12" s="15">
        <f t="shared" si="9"/>
        <v>-50.058669319717929</v>
      </c>
    </row>
    <row r="13" spans="1:21" x14ac:dyDescent="0.45">
      <c r="A13" s="35">
        <v>11</v>
      </c>
      <c r="B13" s="30">
        <v>20.3</v>
      </c>
      <c r="C13" s="31">
        <v>0.92610000000000003</v>
      </c>
      <c r="D13" s="11">
        <v>-0.37181481481481482</v>
      </c>
      <c r="E13" s="12">
        <v>4.0152222222222235E-2</v>
      </c>
      <c r="F13" s="15">
        <f t="shared" si="0"/>
        <v>-75.478407407407403</v>
      </c>
      <c r="G13" s="26">
        <v>-0.1898703703703703</v>
      </c>
      <c r="H13" s="9">
        <v>2.0502111751543633E-2</v>
      </c>
      <c r="I13" s="15">
        <f t="shared" si="1"/>
        <v>-38.543685185185169</v>
      </c>
      <c r="J13" s="27">
        <v>-0.1969859864976668</v>
      </c>
      <c r="K13" s="14">
        <v>-2.1270488426030285E-2</v>
      </c>
      <c r="L13" s="15">
        <f t="shared" si="2"/>
        <v>-39.988155259026357</v>
      </c>
      <c r="M13" s="27">
        <v>-0.18740609840110473</v>
      </c>
      <c r="N13" s="14">
        <v>-2.0236054949296634E-2</v>
      </c>
      <c r="O13" s="15">
        <f t="shared" si="3"/>
        <v>-38.043437975424261</v>
      </c>
      <c r="P13" s="11">
        <f t="shared" si="4"/>
        <v>-0.19219604244938576</v>
      </c>
      <c r="Q13" s="12">
        <f t="shared" si="5"/>
        <v>-2.0753271687663458E-2</v>
      </c>
      <c r="R13" s="15">
        <f t="shared" si="6"/>
        <v>-39.015796617225313</v>
      </c>
      <c r="S13" s="10">
        <f t="shared" si="7"/>
        <v>-0.2365193175209892</v>
      </c>
      <c r="T13" s="12">
        <f t="shared" si="8"/>
        <v>-2.5540219337273195E-2</v>
      </c>
      <c r="U13" s="15">
        <f t="shared" si="9"/>
        <v>-48.01342145676081</v>
      </c>
    </row>
    <row r="14" spans="1:21" x14ac:dyDescent="0.45">
      <c r="A14" s="35">
        <v>12</v>
      </c>
      <c r="B14" s="30">
        <v>15.7</v>
      </c>
      <c r="C14" s="31">
        <v>0.92920000000000003</v>
      </c>
      <c r="D14" s="11">
        <v>-0.36681481481481482</v>
      </c>
      <c r="E14" s="12">
        <v>3.9469814814814826E-2</v>
      </c>
      <c r="F14" s="15">
        <f t="shared" si="0"/>
        <v>-57.589925925925925</v>
      </c>
      <c r="G14" s="26">
        <v>-0.18711111111111109</v>
      </c>
      <c r="H14" s="9">
        <v>2.0136776990544766E-2</v>
      </c>
      <c r="I14" s="15">
        <f t="shared" si="1"/>
        <v>-29.376444444444441</v>
      </c>
      <c r="J14" s="27">
        <v>-0.19424623913235106</v>
      </c>
      <c r="K14" s="14">
        <v>-2.0904675307803627E-2</v>
      </c>
      <c r="L14" s="15">
        <f t="shared" si="2"/>
        <v>-30.496659543779117</v>
      </c>
      <c r="M14" s="27">
        <v>-0.18274192456845859</v>
      </c>
      <c r="N14" s="14">
        <v>-1.9666587190004112E-2</v>
      </c>
      <c r="O14" s="15">
        <f t="shared" si="3"/>
        <v>-28.690482157247999</v>
      </c>
      <c r="P14" s="11">
        <f t="shared" si="4"/>
        <v>-0.18849408185040484</v>
      </c>
      <c r="Q14" s="12">
        <f t="shared" si="5"/>
        <v>-2.0285631248903868E-2</v>
      </c>
      <c r="R14" s="15">
        <f t="shared" si="6"/>
        <v>-29.593570850513558</v>
      </c>
      <c r="S14" s="10">
        <f t="shared" si="7"/>
        <v>-0.2327285224066839</v>
      </c>
      <c r="T14" s="12">
        <f t="shared" si="8"/>
        <v>-2.5044463575791834E-2</v>
      </c>
      <c r="U14" s="15">
        <f t="shared" si="9"/>
        <v>-36.538378017849375</v>
      </c>
    </row>
    <row r="15" spans="1:21" x14ac:dyDescent="0.45">
      <c r="A15" s="35">
        <v>13</v>
      </c>
      <c r="B15" s="30">
        <v>15.7</v>
      </c>
      <c r="C15" s="31">
        <v>0.93220000000000003</v>
      </c>
      <c r="D15" s="11">
        <v>-0.36449999999999971</v>
      </c>
      <c r="E15" s="12">
        <v>3.9099074074074099E-2</v>
      </c>
      <c r="F15" s="15">
        <f t="shared" si="0"/>
        <v>-57.226499999999952</v>
      </c>
      <c r="G15" s="26">
        <v>-0.18853703703703698</v>
      </c>
      <c r="H15" s="9">
        <v>2.0224908403587757E-2</v>
      </c>
      <c r="I15" s="15">
        <f t="shared" si="1"/>
        <v>-29.600314814814805</v>
      </c>
      <c r="J15" s="27">
        <v>-0.19503222571478923</v>
      </c>
      <c r="K15" s="14">
        <v>-2.0921715847711922E-2</v>
      </c>
      <c r="L15" s="15">
        <f t="shared" si="2"/>
        <v>-30.620059437221908</v>
      </c>
      <c r="M15" s="27">
        <v>-0.18355376632125237</v>
      </c>
      <c r="N15" s="14">
        <v>-1.9690385666656308E-2</v>
      </c>
      <c r="O15" s="15">
        <f t="shared" si="3"/>
        <v>-28.81794131243662</v>
      </c>
      <c r="P15" s="11">
        <f t="shared" si="4"/>
        <v>-0.1892929960180208</v>
      </c>
      <c r="Q15" s="12">
        <f t="shared" si="5"/>
        <v>-2.0306050757184113E-2</v>
      </c>
      <c r="R15" s="15">
        <f t="shared" si="6"/>
        <v>-29.719000374829264</v>
      </c>
      <c r="S15" s="10">
        <f t="shared" si="7"/>
        <v>-0.23290575726826956</v>
      </c>
      <c r="T15" s="12">
        <f t="shared" si="8"/>
        <v>-2.498402099800752E-2</v>
      </c>
      <c r="U15" s="15">
        <f t="shared" si="9"/>
        <v>-36.56620389111832</v>
      </c>
    </row>
    <row r="16" spans="1:21" x14ac:dyDescent="0.45">
      <c r="A16" s="35">
        <v>14</v>
      </c>
      <c r="B16" s="30">
        <v>15.7</v>
      </c>
      <c r="C16" s="31">
        <v>0.93379999999999996</v>
      </c>
      <c r="D16" s="11">
        <v>-0.36703703703703688</v>
      </c>
      <c r="E16" s="12">
        <v>3.9299999999999981E-2</v>
      </c>
      <c r="F16" s="15">
        <f t="shared" si="0"/>
        <v>-57.624814814814791</v>
      </c>
      <c r="G16" s="26">
        <v>-0.19003703703703703</v>
      </c>
      <c r="H16" s="9">
        <v>2.0350966906452106E-2</v>
      </c>
      <c r="I16" s="15">
        <f t="shared" si="1"/>
        <v>-29.835814814814814</v>
      </c>
      <c r="J16" s="27">
        <v>-0.19410391207094516</v>
      </c>
      <c r="K16" s="14">
        <v>-2.0786453832299309E-2</v>
      </c>
      <c r="L16" s="15">
        <f t="shared" si="2"/>
        <v>-30.47431419513839</v>
      </c>
      <c r="M16" s="27">
        <v>-0.1847854013796203</v>
      </c>
      <c r="N16" s="14">
        <v>-1.9788540960763705E-2</v>
      </c>
      <c r="O16" s="15">
        <f t="shared" si="3"/>
        <v>-29.011308016600385</v>
      </c>
      <c r="P16" s="11">
        <f t="shared" si="4"/>
        <v>-0.18944465672528271</v>
      </c>
      <c r="Q16" s="12">
        <f t="shared" si="5"/>
        <v>-2.0287497396531507E-2</v>
      </c>
      <c r="R16" s="15">
        <f t="shared" si="6"/>
        <v>-29.742811105869386</v>
      </c>
      <c r="S16" s="10">
        <f t="shared" si="7"/>
        <v>-0.23399084688115984</v>
      </c>
      <c r="T16" s="12">
        <f t="shared" si="8"/>
        <v>-2.5056490424878779E-2</v>
      </c>
      <c r="U16" s="15">
        <f t="shared" si="9"/>
        <v>-36.736562960342098</v>
      </c>
    </row>
    <row r="17" spans="1:21" x14ac:dyDescent="0.45">
      <c r="A17" s="35">
        <v>15</v>
      </c>
      <c r="B17" s="30">
        <v>15.7</v>
      </c>
      <c r="C17" s="31">
        <v>0.94040000000000001</v>
      </c>
      <c r="D17" s="11">
        <v>-0.37368518518518518</v>
      </c>
      <c r="E17" s="12">
        <v>3.9741851851851848E-2</v>
      </c>
      <c r="F17" s="15">
        <f t="shared" si="0"/>
        <v>-58.668574074074073</v>
      </c>
      <c r="G17" s="26">
        <v>-0.19283333333333338</v>
      </c>
      <c r="H17" s="9">
        <v>2.0505488042406018E-2</v>
      </c>
      <c r="I17" s="15">
        <f t="shared" si="1"/>
        <v>-30.274833333333341</v>
      </c>
      <c r="J17" s="27">
        <v>-0.19795126385158907</v>
      </c>
      <c r="K17" s="14">
        <v>-2.104968714478133E-2</v>
      </c>
      <c r="L17" s="15">
        <f t="shared" si="2"/>
        <v>-31.078348424699485</v>
      </c>
      <c r="M17" s="27">
        <v>-0.18820564835159836</v>
      </c>
      <c r="N17" s="14">
        <v>-2.0013360559557079E-2</v>
      </c>
      <c r="O17" s="15">
        <f t="shared" si="3"/>
        <v>-29.548286791200944</v>
      </c>
      <c r="P17" s="11">
        <f t="shared" si="4"/>
        <v>-0.19307845610159372</v>
      </c>
      <c r="Q17" s="12">
        <f t="shared" si="5"/>
        <v>-2.0531523852169206E-2</v>
      </c>
      <c r="R17" s="15">
        <f t="shared" si="6"/>
        <v>-30.313317607950214</v>
      </c>
      <c r="S17" s="10">
        <f t="shared" si="7"/>
        <v>-0.2381688576804265</v>
      </c>
      <c r="T17" s="12">
        <f t="shared" si="8"/>
        <v>-2.5327596899649068E-2</v>
      </c>
      <c r="U17" s="15">
        <f t="shared" si="9"/>
        <v>-37.39251065582696</v>
      </c>
    </row>
    <row r="18" spans="1:21" x14ac:dyDescent="0.45">
      <c r="A18" s="35">
        <v>16</v>
      </c>
      <c r="B18" s="30">
        <v>15.7</v>
      </c>
      <c r="C18" s="31">
        <v>0.95940000000000003</v>
      </c>
      <c r="D18" s="11">
        <v>-0.37912962962962937</v>
      </c>
      <c r="E18" s="12">
        <v>3.9523518518518506E-2</v>
      </c>
      <c r="F18" s="15">
        <f t="shared" si="0"/>
        <v>-59.523351851851814</v>
      </c>
      <c r="G18" s="26">
        <v>-0.19587037037037033</v>
      </c>
      <c r="H18" s="9">
        <v>2.0415909544230827E-2</v>
      </c>
      <c r="I18" s="15">
        <f t="shared" si="1"/>
        <v>-30.751648148148142</v>
      </c>
      <c r="J18" s="27">
        <v>-0.20084418190850123</v>
      </c>
      <c r="K18" s="14">
        <v>-2.0934353219032416E-2</v>
      </c>
      <c r="L18" s="15">
        <f t="shared" si="2"/>
        <v>-31.532536559634693</v>
      </c>
      <c r="M18" s="27">
        <v>-0.19092404400860785</v>
      </c>
      <c r="N18" s="14">
        <v>-1.9900359260111147E-2</v>
      </c>
      <c r="O18" s="15">
        <f t="shared" si="3"/>
        <v>-29.975074909351434</v>
      </c>
      <c r="P18" s="11">
        <f t="shared" si="4"/>
        <v>-0.19588411295855454</v>
      </c>
      <c r="Q18" s="12">
        <f t="shared" si="5"/>
        <v>-2.0417356239571784E-2</v>
      </c>
      <c r="R18" s="15">
        <f t="shared" si="6"/>
        <v>-30.753805734493064</v>
      </c>
      <c r="S18" s="10">
        <f t="shared" si="7"/>
        <v>-0.24169205647927719</v>
      </c>
      <c r="T18" s="12">
        <f t="shared" si="8"/>
        <v>-2.5193535135473226E-2</v>
      </c>
      <c r="U18" s="15">
        <f t="shared" si="9"/>
        <v>-37.945652867246515</v>
      </c>
    </row>
    <row r="19" spans="1:21" x14ac:dyDescent="0.45">
      <c r="A19" s="35">
        <v>17</v>
      </c>
      <c r="B19" s="30">
        <v>15.7</v>
      </c>
      <c r="C19" s="31">
        <v>0.98829999999999996</v>
      </c>
      <c r="D19" s="11">
        <v>-0.38292592592592611</v>
      </c>
      <c r="E19" s="12">
        <v>3.875333333333332E-2</v>
      </c>
      <c r="F19" s="15">
        <f t="shared" si="0"/>
        <v>-60.119370370370397</v>
      </c>
      <c r="G19" s="26">
        <v>-0.19716666666666655</v>
      </c>
      <c r="H19" s="9">
        <v>1.9950119721271069E-2</v>
      </c>
      <c r="I19" s="15">
        <f t="shared" si="1"/>
        <v>-30.955166666666649</v>
      </c>
      <c r="J19" s="27">
        <v>-0.20292944378323</v>
      </c>
      <c r="K19" s="14">
        <v>-2.0533181838216966E-2</v>
      </c>
      <c r="L19" s="15">
        <f t="shared" si="2"/>
        <v>-31.859922673967109</v>
      </c>
      <c r="M19" s="27">
        <v>-0.19266502945511388</v>
      </c>
      <c r="N19" s="14">
        <v>-1.9494588906936183E-2</v>
      </c>
      <c r="O19" s="15">
        <f t="shared" si="3"/>
        <v>-30.248409624452879</v>
      </c>
      <c r="P19" s="11">
        <f t="shared" si="4"/>
        <v>-0.19779723661917192</v>
      </c>
      <c r="Q19" s="12">
        <f t="shared" si="5"/>
        <v>-2.0013885372576576E-2</v>
      </c>
      <c r="R19" s="15">
        <f t="shared" si="6"/>
        <v>-31.054166149209991</v>
      </c>
      <c r="S19" s="10">
        <f t="shared" si="7"/>
        <v>-0.24392176645773411</v>
      </c>
      <c r="T19" s="12">
        <f t="shared" si="8"/>
        <v>-2.4682805949939386E-2</v>
      </c>
      <c r="U19" s="15">
        <f t="shared" si="9"/>
        <v>-38.295717333864253</v>
      </c>
    </row>
    <row r="20" spans="1:21" x14ac:dyDescent="0.45">
      <c r="A20" s="35">
        <v>18</v>
      </c>
      <c r="B20" s="30">
        <v>20.3</v>
      </c>
      <c r="C20" s="31">
        <v>1</v>
      </c>
      <c r="D20" s="11">
        <v>-0.3842592592592593</v>
      </c>
      <c r="E20" s="12">
        <v>3.8432407407407401E-2</v>
      </c>
      <c r="F20" s="15">
        <f t="shared" si="0"/>
        <v>-78.004629629629633</v>
      </c>
      <c r="G20" s="26">
        <v>-0.19805555555555548</v>
      </c>
      <c r="H20" s="9">
        <v>1.980555555555558E-2</v>
      </c>
      <c r="I20" s="15">
        <f t="shared" si="1"/>
        <v>-40.205277777777766</v>
      </c>
      <c r="J20" s="27">
        <v>-0.2035988525108052</v>
      </c>
      <c r="K20" s="14">
        <v>-2.0359885251080501E-2</v>
      </c>
      <c r="L20" s="15">
        <f t="shared" si="2"/>
        <v>-41.330567059693458</v>
      </c>
      <c r="M20" s="27">
        <v>-0.19328293976960326</v>
      </c>
      <c r="N20" s="14">
        <v>-1.9328293976960318E-2</v>
      </c>
      <c r="O20" s="15">
        <f t="shared" si="3"/>
        <v>-39.236436773229464</v>
      </c>
      <c r="P20" s="11">
        <f t="shared" si="4"/>
        <v>-0.19844089614020421</v>
      </c>
      <c r="Q20" s="12">
        <f t="shared" si="5"/>
        <v>-1.984408961402041E-2</v>
      </c>
      <c r="R20" s="15">
        <f t="shared" si="6"/>
        <v>-40.283501916461454</v>
      </c>
      <c r="S20" s="10">
        <f t="shared" si="7"/>
        <v>-0.24479915177380579</v>
      </c>
      <c r="T20" s="12">
        <f t="shared" si="8"/>
        <v>-2.4481535547750947E-2</v>
      </c>
      <c r="U20" s="15">
        <f t="shared" si="9"/>
        <v>-49.694227810082573</v>
      </c>
    </row>
    <row r="21" spans="1:21" x14ac:dyDescent="0.45">
      <c r="A21" s="35">
        <v>19</v>
      </c>
      <c r="B21" s="30">
        <v>20.3</v>
      </c>
      <c r="C21" s="31">
        <v>0.99660000000000004</v>
      </c>
      <c r="D21" s="11">
        <v>-0.38475925925925913</v>
      </c>
      <c r="E21" s="12">
        <v>3.8607777777777789E-2</v>
      </c>
      <c r="F21" s="15">
        <f t="shared" si="0"/>
        <v>-78.106129629629606</v>
      </c>
      <c r="G21" s="26">
        <v>-0.1981296296296296</v>
      </c>
      <c r="H21" s="9">
        <v>1.9880517812783011E-2</v>
      </c>
      <c r="I21" s="15">
        <f t="shared" si="1"/>
        <v>-40.220314814814806</v>
      </c>
      <c r="J21" s="27">
        <v>-0.20386332052725312</v>
      </c>
      <c r="K21" s="14">
        <v>-2.0455882866012947E-2</v>
      </c>
      <c r="L21" s="15">
        <f t="shared" si="2"/>
        <v>-41.38425406703238</v>
      </c>
      <c r="M21" s="27">
        <v>-0.19353248454906288</v>
      </c>
      <c r="N21" s="14">
        <v>-1.9419274759506618E-2</v>
      </c>
      <c r="O21" s="15">
        <f t="shared" si="3"/>
        <v>-39.287094363459765</v>
      </c>
      <c r="P21" s="11">
        <f t="shared" si="4"/>
        <v>-0.198697902538158</v>
      </c>
      <c r="Q21" s="12">
        <f t="shared" si="5"/>
        <v>-1.9937578812759781E-2</v>
      </c>
      <c r="R21" s="15">
        <f t="shared" si="6"/>
        <v>-40.335674215246073</v>
      </c>
      <c r="S21" s="10">
        <f t="shared" si="7"/>
        <v>-0.2450711734913012</v>
      </c>
      <c r="T21" s="12">
        <f t="shared" si="8"/>
        <v>-2.4590863304020091E-2</v>
      </c>
      <c r="U21" s="15">
        <f t="shared" si="9"/>
        <v>-49.749448218734145</v>
      </c>
    </row>
    <row r="22" spans="1:21" x14ac:dyDescent="0.45">
      <c r="A22" s="35">
        <v>20</v>
      </c>
      <c r="B22" s="30">
        <v>9.8000000000000007</v>
      </c>
      <c r="C22" s="31">
        <v>0.98570000000000002</v>
      </c>
      <c r="D22" s="11">
        <v>-0.38494444444444431</v>
      </c>
      <c r="E22" s="12">
        <v>3.9048888888888883E-2</v>
      </c>
      <c r="F22" s="15">
        <f t="shared" si="0"/>
        <v>-37.72455555555554</v>
      </c>
      <c r="G22" s="26">
        <v>-0.19822222222222227</v>
      </c>
      <c r="H22" s="9">
        <v>2.0109827144534104E-2</v>
      </c>
      <c r="I22" s="15">
        <f t="shared" si="1"/>
        <v>-19.425777777777782</v>
      </c>
      <c r="J22" s="27">
        <v>-0.2040058241950137</v>
      </c>
      <c r="K22" s="14">
        <v>-2.0696542247287977E-2</v>
      </c>
      <c r="L22" s="15">
        <f t="shared" si="2"/>
        <v>-19.992570771111343</v>
      </c>
      <c r="M22" s="27">
        <v>-0.19367514716254297</v>
      </c>
      <c r="N22" s="14">
        <v>-1.9648487396455729E-2</v>
      </c>
      <c r="O22" s="15">
        <f t="shared" si="3"/>
        <v>-18.98016442192921</v>
      </c>
      <c r="P22" s="11">
        <f t="shared" si="4"/>
        <v>-0.19884048567877832</v>
      </c>
      <c r="Q22" s="12">
        <f t="shared" si="5"/>
        <v>-2.0172514821871851E-2</v>
      </c>
      <c r="R22" s="15">
        <f t="shared" si="6"/>
        <v>-19.486367596520275</v>
      </c>
      <c r="S22" s="10">
        <f t="shared" si="7"/>
        <v>-0.24521190950605581</v>
      </c>
      <c r="T22" s="12">
        <f t="shared" si="8"/>
        <v>-2.4875936419291672E-2</v>
      </c>
      <c r="U22" s="15">
        <f t="shared" si="9"/>
        <v>-24.030767131593471</v>
      </c>
    </row>
    <row r="23" spans="1:21" x14ac:dyDescent="0.45">
      <c r="A23" s="35">
        <v>21</v>
      </c>
      <c r="B23" s="30">
        <v>9.8000000000000007</v>
      </c>
      <c r="C23" s="31">
        <v>0.96199999999999997</v>
      </c>
      <c r="D23" s="11">
        <v>-0.38472222222222235</v>
      </c>
      <c r="E23" s="12">
        <v>3.9996111111111121E-2</v>
      </c>
      <c r="F23" s="15">
        <f t="shared" si="0"/>
        <v>-37.70277777777779</v>
      </c>
      <c r="G23" s="26">
        <v>-0.19822222222222213</v>
      </c>
      <c r="H23" s="9">
        <v>2.0605208999086962E-2</v>
      </c>
      <c r="I23" s="15">
        <f t="shared" si="1"/>
        <v>-19.425777777777768</v>
      </c>
      <c r="J23" s="27">
        <v>-0.20406558778550868</v>
      </c>
      <c r="K23" s="14">
        <v>-2.1212639315291298E-2</v>
      </c>
      <c r="L23" s="15">
        <f t="shared" si="2"/>
        <v>-19.998427602979852</v>
      </c>
      <c r="M23" s="27">
        <v>-0.19375096427069735</v>
      </c>
      <c r="N23" s="14">
        <v>-2.0140433115965365E-2</v>
      </c>
      <c r="O23" s="15">
        <f t="shared" si="3"/>
        <v>-18.987594498528342</v>
      </c>
      <c r="P23" s="11">
        <f t="shared" si="4"/>
        <v>-0.19890827602810301</v>
      </c>
      <c r="Q23" s="12">
        <f t="shared" si="5"/>
        <v>-2.067653621562833E-2</v>
      </c>
      <c r="R23" s="15">
        <f t="shared" si="6"/>
        <v>-19.493011050754095</v>
      </c>
      <c r="S23" s="10">
        <f t="shared" si="7"/>
        <v>-0.24519024912516263</v>
      </c>
      <c r="T23" s="12">
        <f t="shared" si="8"/>
        <v>-2.5488598135363687E-2</v>
      </c>
      <c r="U23" s="15">
        <f t="shared" si="9"/>
        <v>-24.028644414265937</v>
      </c>
    </row>
    <row r="24" spans="1:21" x14ac:dyDescent="0.45">
      <c r="A24" s="35">
        <v>22</v>
      </c>
      <c r="B24" s="30">
        <v>9.8000000000000007</v>
      </c>
      <c r="C24" s="31">
        <v>0.91390000000000005</v>
      </c>
      <c r="D24" s="11">
        <v>-0.41644444444444462</v>
      </c>
      <c r="E24" s="12">
        <v>4.5573888888888865E-2</v>
      </c>
      <c r="F24" s="15">
        <f t="shared" si="0"/>
        <v>-40.811555555555572</v>
      </c>
      <c r="G24" s="26">
        <v>-0.20983333333333329</v>
      </c>
      <c r="H24" s="9">
        <v>2.2960200649294778E-2</v>
      </c>
      <c r="I24" s="15">
        <f t="shared" si="1"/>
        <v>-20.563666666666663</v>
      </c>
      <c r="J24" s="27">
        <v>-0.22105264663696267</v>
      </c>
      <c r="K24" s="14">
        <v>-2.418783763138975E-2</v>
      </c>
      <c r="L24" s="15">
        <f t="shared" si="2"/>
        <v>-21.663159370422342</v>
      </c>
      <c r="M24" s="27">
        <v>-0.21016989813910561</v>
      </c>
      <c r="N24" s="14">
        <v>-2.2997034636473696E-2</v>
      </c>
      <c r="O24" s="15">
        <f t="shared" si="3"/>
        <v>-20.596650017632349</v>
      </c>
      <c r="P24" s="11">
        <f t="shared" si="4"/>
        <v>-0.21561127238803413</v>
      </c>
      <c r="Q24" s="12">
        <f t="shared" si="5"/>
        <v>-2.3592436133931721E-2</v>
      </c>
      <c r="R24" s="15">
        <f t="shared" si="6"/>
        <v>-21.129904694027346</v>
      </c>
      <c r="S24" s="10">
        <f t="shared" si="7"/>
        <v>-0.26437508063846155</v>
      </c>
      <c r="T24" s="12">
        <f t="shared" si="8"/>
        <v>-2.8929740451511771E-2</v>
      </c>
      <c r="U24" s="15">
        <f t="shared" si="9"/>
        <v>-25.908757902569231</v>
      </c>
    </row>
    <row r="25" spans="1:21" x14ac:dyDescent="0.45">
      <c r="A25" s="35">
        <v>23</v>
      </c>
      <c r="B25" s="30">
        <v>9.8000000000000007</v>
      </c>
      <c r="C25" s="31">
        <v>0.85470000000000002</v>
      </c>
      <c r="D25" s="11">
        <v>-0.43872222222222218</v>
      </c>
      <c r="E25" s="12">
        <v>5.1332777777777769E-2</v>
      </c>
      <c r="F25" s="15">
        <f t="shared" si="0"/>
        <v>-42.99477777777777</v>
      </c>
      <c r="G25" s="26">
        <v>-0.22672222222222224</v>
      </c>
      <c r="H25" s="9">
        <v>2.6526518667667288E-2</v>
      </c>
      <c r="I25" s="15">
        <f t="shared" si="1"/>
        <v>-22.218777777777781</v>
      </c>
      <c r="J25" s="27">
        <v>-0.23284551832410982</v>
      </c>
      <c r="K25" s="14">
        <v>-2.7242953105737107E-2</v>
      </c>
      <c r="L25" s="15">
        <f t="shared" si="2"/>
        <v>-22.818860795762763</v>
      </c>
      <c r="M25" s="27">
        <v>-0.22201675838894269</v>
      </c>
      <c r="N25" s="14">
        <v>-2.5975986916177876E-2</v>
      </c>
      <c r="O25" s="15">
        <f t="shared" si="3"/>
        <v>-21.757642322116382</v>
      </c>
      <c r="P25" s="11">
        <f t="shared" si="4"/>
        <v>-0.22743113835652626</v>
      </c>
      <c r="Q25" s="12">
        <f t="shared" si="5"/>
        <v>-2.6609470010957492E-2</v>
      </c>
      <c r="R25" s="15">
        <f t="shared" si="6"/>
        <v>-22.288251558939574</v>
      </c>
      <c r="S25" s="10">
        <f t="shared" si="7"/>
        <v>-0.28007668028937421</v>
      </c>
      <c r="T25" s="12">
        <f t="shared" si="8"/>
        <v>-3.2769559116840014E-2</v>
      </c>
      <c r="U25" s="15">
        <f t="shared" si="9"/>
        <v>-27.447514668358671</v>
      </c>
    </row>
    <row r="26" spans="1:21" ht="14.65" thickBot="1" x14ac:dyDescent="0.5">
      <c r="A26" s="35">
        <v>24</v>
      </c>
      <c r="B26" s="30">
        <v>9.8000000000000007</v>
      </c>
      <c r="C26" s="31">
        <v>0.80469999999999997</v>
      </c>
      <c r="D26" s="11">
        <v>-0.42611111111111094</v>
      </c>
      <c r="E26" s="12">
        <v>5.2952777777777758E-2</v>
      </c>
      <c r="F26" s="15">
        <f t="shared" si="0"/>
        <v>-41.758888888888869</v>
      </c>
      <c r="G26" s="26">
        <v>-0.22027777777777782</v>
      </c>
      <c r="H26" s="9">
        <v>2.7373892216549841E-2</v>
      </c>
      <c r="I26" s="15">
        <f t="shared" si="1"/>
        <v>-21.587222222222227</v>
      </c>
      <c r="J26" s="27">
        <v>-0.22642204496595536</v>
      </c>
      <c r="K26" s="14">
        <v>-2.8137448353175189E-2</v>
      </c>
      <c r="L26" s="15">
        <f t="shared" si="2"/>
        <v>-22.189360406663624</v>
      </c>
      <c r="M26" s="27">
        <v>-0.21579156981574121</v>
      </c>
      <c r="N26" s="14">
        <v>-2.6816400106508945E-2</v>
      </c>
      <c r="O26" s="15">
        <f t="shared" si="3"/>
        <v>-21.147573841942638</v>
      </c>
      <c r="P26" s="11">
        <f t="shared" si="4"/>
        <v>-0.22110680739084829</v>
      </c>
      <c r="Q26" s="12">
        <f t="shared" si="5"/>
        <v>-2.7476924229842069E-2</v>
      </c>
      <c r="R26" s="15">
        <f t="shared" si="6"/>
        <v>-21.668467124303131</v>
      </c>
      <c r="S26" s="10">
        <f t="shared" si="7"/>
        <v>-0.27215062591764638</v>
      </c>
      <c r="T26" s="12">
        <f t="shared" si="8"/>
        <v>-3.3820129613502933E-2</v>
      </c>
      <c r="U26" s="15">
        <f t="shared" si="9"/>
        <v>-26.670761339929346</v>
      </c>
    </row>
    <row r="27" spans="1:21" x14ac:dyDescent="0.45">
      <c r="A27" s="34" t="s">
        <v>17</v>
      </c>
      <c r="B27" s="38"/>
      <c r="C27" s="39"/>
      <c r="D27" s="114" t="s">
        <v>78</v>
      </c>
      <c r="E27" s="41"/>
      <c r="F27" s="42">
        <f>SUM(F3:F26)</f>
        <v>-1327.5841296296292</v>
      </c>
      <c r="G27" s="43"/>
      <c r="H27" s="41"/>
      <c r="I27" s="42">
        <f>SUM(I3:I26)</f>
        <v>-677.2885370370368</v>
      </c>
      <c r="J27" s="43"/>
      <c r="K27" s="44"/>
      <c r="L27" s="42">
        <f>SUM(L3:L26)</f>
        <v>-704.32282453113032</v>
      </c>
      <c r="M27" s="43"/>
      <c r="N27" s="44"/>
      <c r="O27" s="42">
        <f>SUM(O3:O26)</f>
        <v>-667.0294094792107</v>
      </c>
      <c r="P27" s="45"/>
      <c r="Q27" s="46"/>
      <c r="R27" s="42">
        <f>SUM(R3:R26)</f>
        <v>-685.67611700517057</v>
      </c>
      <c r="S27" s="47"/>
      <c r="T27" s="46"/>
      <c r="U27" s="42">
        <f>SUM(U3:U26)</f>
        <v>-844.05622516925189</v>
      </c>
    </row>
    <row r="28" spans="1:21" ht="14.65" thickBot="1" x14ac:dyDescent="0.5">
      <c r="A28" s="36" t="s">
        <v>18</v>
      </c>
      <c r="B28" s="32"/>
      <c r="C28" s="33"/>
      <c r="D28" s="113">
        <f>SUM(D3:D26)*1000*365*0.142</f>
        <v>-501371.74611111096</v>
      </c>
      <c r="E28" s="20"/>
      <c r="F28" s="25">
        <f>F27*364</f>
        <v>-483240.62318518502</v>
      </c>
      <c r="G28" s="113">
        <f>SUM(G3:G26)*1000*365*0.142</f>
        <v>-256280.15370370369</v>
      </c>
      <c r="H28" s="20"/>
      <c r="I28" s="25">
        <f>I27*364</f>
        <v>-246533.0274814814</v>
      </c>
      <c r="J28" s="113">
        <f>SUM(J3:J26)*1000*365*0.142</f>
        <v>-266069.93715586443</v>
      </c>
      <c r="K28" s="21"/>
      <c r="L28" s="25">
        <f>L27*364</f>
        <v>-256373.50812933143</v>
      </c>
      <c r="M28" s="113">
        <f>SUM(M3:M26)*1000*365*0.142</f>
        <v>-252396.33264417964</v>
      </c>
      <c r="N28" s="21"/>
      <c r="O28" s="25">
        <f>O27*364</f>
        <v>-242798.70505043271</v>
      </c>
      <c r="P28" s="113">
        <f>SUM(P3:P26)*1000*365*0.142</f>
        <v>-259233.13490002198</v>
      </c>
      <c r="Q28" s="23"/>
      <c r="R28" s="25">
        <f>R27*364</f>
        <v>-249586.10658988208</v>
      </c>
      <c r="S28" s="113">
        <f>SUM(S3:S26)*1000*365*0.142</f>
        <v>-319029.54240371467</v>
      </c>
      <c r="T28" s="23"/>
      <c r="U28" s="25">
        <f>U27*364</f>
        <v>-307236.4659616077</v>
      </c>
    </row>
    <row r="29" spans="1:21" x14ac:dyDescent="0.45">
      <c r="C29" s="9"/>
      <c r="D29" s="12"/>
      <c r="E29" s="12"/>
      <c r="F29" s="8"/>
      <c r="G29" s="17"/>
      <c r="H29" s="12"/>
      <c r="I29" s="8"/>
      <c r="J29" s="17"/>
      <c r="K29" s="17"/>
      <c r="L29" s="8"/>
      <c r="M29" s="17"/>
      <c r="N29" s="17"/>
      <c r="O29" s="8"/>
      <c r="P29" s="10"/>
      <c r="R29" s="8"/>
      <c r="U29" s="8"/>
    </row>
    <row r="30" spans="1:21" ht="14.65" thickBot="1" x14ac:dyDescent="0.5">
      <c r="A30" s="5" t="s">
        <v>9</v>
      </c>
      <c r="S30" s="6" t="s">
        <v>54</v>
      </c>
      <c r="T30" s="90">
        <f>AVERAGE(T3:T26)</f>
        <v>-2.9358450224092555E-2</v>
      </c>
    </row>
    <row r="31" spans="1:21" ht="28.9" thickBot="1" x14ac:dyDescent="0.5">
      <c r="A31" s="5" t="s">
        <v>10</v>
      </c>
      <c r="F31" s="62" t="s">
        <v>23</v>
      </c>
      <c r="G31" s="63" t="s">
        <v>2</v>
      </c>
      <c r="H31" s="64" t="s">
        <v>3</v>
      </c>
      <c r="I31" s="64" t="s">
        <v>19</v>
      </c>
      <c r="J31" s="64" t="s">
        <v>20</v>
      </c>
      <c r="K31" s="64" t="s">
        <v>21</v>
      </c>
      <c r="L31" s="65" t="s">
        <v>22</v>
      </c>
    </row>
    <row r="32" spans="1:21" ht="27.4" customHeight="1" x14ac:dyDescent="0.45">
      <c r="F32" s="66" t="s">
        <v>17</v>
      </c>
      <c r="G32" s="54">
        <f>F27</f>
        <v>-1327.5841296296292</v>
      </c>
      <c r="H32" s="55">
        <f>I27</f>
        <v>-677.2885370370368</v>
      </c>
      <c r="I32" s="55">
        <f>L27</f>
        <v>-704.32282453113032</v>
      </c>
      <c r="J32" s="55">
        <f>O27</f>
        <v>-667.0294094792107</v>
      </c>
      <c r="K32" s="55">
        <f>R27</f>
        <v>-685.67611700517057</v>
      </c>
      <c r="L32" s="56">
        <f>U27</f>
        <v>-844.05622516925189</v>
      </c>
    </row>
    <row r="33" spans="1:20" ht="28.9" thickBot="1" x14ac:dyDescent="0.5">
      <c r="A33" s="67" t="s">
        <v>24</v>
      </c>
      <c r="F33" s="61" t="s">
        <v>18</v>
      </c>
      <c r="G33" s="57">
        <f>F28</f>
        <v>-483240.62318518502</v>
      </c>
      <c r="H33" s="58">
        <f>I28</f>
        <v>-246533.0274814814</v>
      </c>
      <c r="I33" s="58">
        <f>L28</f>
        <v>-256373.50812933143</v>
      </c>
      <c r="J33" s="58">
        <f>O28</f>
        <v>-242798.70505043271</v>
      </c>
      <c r="K33" s="58">
        <f>R28</f>
        <v>-249586.10658988208</v>
      </c>
      <c r="L33" s="59">
        <f>U28</f>
        <v>-307236.4659616077</v>
      </c>
    </row>
    <row r="36" spans="1:20" x14ac:dyDescent="0.45">
      <c r="T36" s="106"/>
    </row>
  </sheetData>
  <mergeCells count="7">
    <mergeCell ref="P1:R1"/>
    <mergeCell ref="S1:U1"/>
    <mergeCell ref="A1:A2"/>
    <mergeCell ref="D1:F1"/>
    <mergeCell ref="G1:I1"/>
    <mergeCell ref="J1:L1"/>
    <mergeCell ref="M1:O1"/>
  </mergeCells>
  <hyperlinks>
    <hyperlink ref="A33" r:id="rId1" location="current" display="https://www.oeb.ca/consumer-information-and-protection/electricity-rates - current" xr:uid="{417BEC96-52B2-4086-B350-2CCFBEF223F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EB77-4CC9-46ED-8050-0CA463DFF458}">
  <sheetPr codeName="Sheet2"/>
  <dimension ref="A1:AM46"/>
  <sheetViews>
    <sheetView tabSelected="1" topLeftCell="A11" zoomScale="68" zoomScaleNormal="100" workbookViewId="0">
      <selection activeCell="J18" sqref="J18"/>
    </sheetView>
  </sheetViews>
  <sheetFormatPr defaultColWidth="9.06640625" defaultRowHeight="14.25" x14ac:dyDescent="0.45"/>
  <cols>
    <col min="1" max="1" width="23.06640625" style="1" customWidth="1"/>
    <col min="2" max="2" width="20.46484375" style="1" bestFit="1" customWidth="1"/>
    <col min="3" max="3" width="20.46484375" style="1" customWidth="1"/>
    <col min="4" max="4" width="18.46484375" style="3" customWidth="1"/>
    <col min="5" max="6" width="16.06640625" style="3" customWidth="1"/>
    <col min="7" max="7" width="18.46484375" style="3" customWidth="1"/>
    <col min="8" max="9" width="16.06640625" style="3" customWidth="1"/>
    <col min="10" max="10" width="18.46484375" style="3" customWidth="1"/>
    <col min="11" max="12" width="16.06640625" style="3" customWidth="1"/>
    <col min="13" max="13" width="15.73046875" style="4" customWidth="1"/>
    <col min="14" max="15" width="15.73046875" style="3" customWidth="1"/>
    <col min="16" max="16" width="15.73046875" style="4" customWidth="1"/>
    <col min="17" max="18" width="15.73046875" style="3" customWidth="1"/>
    <col min="19" max="19" width="15.73046875" style="4" customWidth="1"/>
    <col min="20" max="21" width="15.73046875" style="3" customWidth="1"/>
    <col min="22" max="30" width="17.265625" style="4" customWidth="1"/>
    <col min="31" max="31" width="20.06640625" style="6" bestFit="1" customWidth="1"/>
    <col min="32" max="32" width="15.19921875" style="1" customWidth="1"/>
    <col min="33" max="33" width="14.19921875" customWidth="1"/>
    <col min="34" max="34" width="20.06640625" style="6" bestFit="1" customWidth="1"/>
    <col min="35" max="35" width="15.19921875" style="1" customWidth="1"/>
    <col min="36" max="36" width="14.19921875" customWidth="1"/>
    <col min="37" max="37" width="20.06640625" style="6" bestFit="1" customWidth="1"/>
    <col min="38" max="38" width="15.19921875" style="1" customWidth="1"/>
    <col min="39" max="39" width="14.19921875" customWidth="1"/>
  </cols>
  <sheetData>
    <row r="1" spans="1:39" ht="15.75" x14ac:dyDescent="0.45">
      <c r="A1" s="135" t="s">
        <v>0</v>
      </c>
      <c r="B1" s="48" t="s">
        <v>12</v>
      </c>
      <c r="C1" s="49" t="s">
        <v>14</v>
      </c>
      <c r="D1" s="138" t="s">
        <v>25</v>
      </c>
      <c r="E1" s="139"/>
      <c r="F1" s="140"/>
      <c r="G1" s="138" t="s">
        <v>25</v>
      </c>
      <c r="H1" s="139"/>
      <c r="I1" s="140"/>
      <c r="J1" s="138" t="s">
        <v>25</v>
      </c>
      <c r="K1" s="139"/>
      <c r="L1" s="140"/>
      <c r="M1" s="141" t="s">
        <v>26</v>
      </c>
      <c r="N1" s="142"/>
      <c r="O1" s="143"/>
      <c r="P1" s="141" t="s">
        <v>26</v>
      </c>
      <c r="Q1" s="142"/>
      <c r="R1" s="143"/>
      <c r="S1" s="141" t="s">
        <v>26</v>
      </c>
      <c r="T1" s="142"/>
      <c r="U1" s="143"/>
      <c r="V1" s="129" t="s">
        <v>28</v>
      </c>
      <c r="W1" s="130"/>
      <c r="X1" s="131"/>
      <c r="Y1" s="129" t="s">
        <v>28</v>
      </c>
      <c r="Z1" s="130"/>
      <c r="AA1" s="131"/>
      <c r="AB1" s="129" t="s">
        <v>28</v>
      </c>
      <c r="AC1" s="130"/>
      <c r="AD1" s="131"/>
      <c r="AE1" s="124" t="s">
        <v>11</v>
      </c>
      <c r="AF1" s="124"/>
      <c r="AG1" s="125"/>
      <c r="AH1" s="124" t="s">
        <v>11</v>
      </c>
      <c r="AI1" s="124"/>
      <c r="AJ1" s="125"/>
      <c r="AK1" s="124" t="s">
        <v>11</v>
      </c>
      <c r="AL1" s="124"/>
      <c r="AM1" s="125"/>
    </row>
    <row r="2" spans="1:39" ht="18" x14ac:dyDescent="0.45">
      <c r="A2" s="136"/>
      <c r="B2" s="68"/>
      <c r="C2" s="69"/>
      <c r="D2" s="144" t="s">
        <v>29</v>
      </c>
      <c r="E2" s="145"/>
      <c r="F2" s="146"/>
      <c r="G2" s="144" t="s">
        <v>30</v>
      </c>
      <c r="H2" s="145"/>
      <c r="I2" s="146"/>
      <c r="J2" s="144" t="s">
        <v>31</v>
      </c>
      <c r="K2" s="145"/>
      <c r="L2" s="146"/>
      <c r="M2" s="147" t="s">
        <v>27</v>
      </c>
      <c r="N2" s="148"/>
      <c r="O2" s="149"/>
      <c r="P2" s="147" t="s">
        <v>47</v>
      </c>
      <c r="Q2" s="148"/>
      <c r="R2" s="149"/>
      <c r="S2" s="147" t="s">
        <v>46</v>
      </c>
      <c r="T2" s="148"/>
      <c r="U2" s="149"/>
      <c r="V2" s="132" t="s">
        <v>48</v>
      </c>
      <c r="W2" s="133"/>
      <c r="X2" s="134"/>
      <c r="Y2" s="132" t="s">
        <v>30</v>
      </c>
      <c r="Z2" s="133"/>
      <c r="AA2" s="134"/>
      <c r="AB2" s="132" t="s">
        <v>31</v>
      </c>
      <c r="AC2" s="133"/>
      <c r="AD2" s="134"/>
      <c r="AE2" s="126" t="s">
        <v>36</v>
      </c>
      <c r="AF2" s="127"/>
      <c r="AG2" s="128"/>
      <c r="AH2" s="126" t="s">
        <v>37</v>
      </c>
      <c r="AI2" s="127"/>
      <c r="AJ2" s="128"/>
      <c r="AK2" s="126" t="s">
        <v>38</v>
      </c>
      <c r="AL2" s="127"/>
      <c r="AM2" s="128"/>
    </row>
    <row r="3" spans="1:39" ht="14.65" thickBot="1" x14ac:dyDescent="0.5">
      <c r="A3" s="137"/>
      <c r="B3" s="50" t="s">
        <v>13</v>
      </c>
      <c r="C3" s="51" t="s">
        <v>15</v>
      </c>
      <c r="D3" s="19" t="s">
        <v>7</v>
      </c>
      <c r="E3" s="20" t="s">
        <v>1</v>
      </c>
      <c r="F3" s="37" t="s">
        <v>16</v>
      </c>
      <c r="G3" s="19" t="s">
        <v>7</v>
      </c>
      <c r="H3" s="20" t="s">
        <v>1</v>
      </c>
      <c r="I3" s="37" t="s">
        <v>16</v>
      </c>
      <c r="J3" s="19" t="s">
        <v>7</v>
      </c>
      <c r="K3" s="20" t="s">
        <v>1</v>
      </c>
      <c r="L3" s="37" t="s">
        <v>16</v>
      </c>
      <c r="M3" s="19" t="s">
        <v>7</v>
      </c>
      <c r="N3" s="20" t="s">
        <v>1</v>
      </c>
      <c r="O3" s="37" t="s">
        <v>16</v>
      </c>
      <c r="P3" s="19" t="s">
        <v>7</v>
      </c>
      <c r="Q3" s="20" t="s">
        <v>1</v>
      </c>
      <c r="R3" s="37" t="s">
        <v>16</v>
      </c>
      <c r="S3" s="19" t="s">
        <v>7</v>
      </c>
      <c r="T3" s="20" t="s">
        <v>1</v>
      </c>
      <c r="U3" s="37" t="s">
        <v>16</v>
      </c>
      <c r="V3" s="19" t="s">
        <v>7</v>
      </c>
      <c r="W3" s="20" t="s">
        <v>1</v>
      </c>
      <c r="X3" s="37" t="s">
        <v>16</v>
      </c>
      <c r="Y3" s="19" t="s">
        <v>7</v>
      </c>
      <c r="Z3" s="20" t="s">
        <v>1</v>
      </c>
      <c r="AA3" s="37" t="s">
        <v>16</v>
      </c>
      <c r="AB3" s="19" t="s">
        <v>7</v>
      </c>
      <c r="AC3" s="20" t="s">
        <v>1</v>
      </c>
      <c r="AD3" s="37" t="s">
        <v>16</v>
      </c>
      <c r="AE3" s="22" t="s">
        <v>7</v>
      </c>
      <c r="AF3" s="20" t="s">
        <v>1</v>
      </c>
      <c r="AG3" s="37" t="s">
        <v>16</v>
      </c>
      <c r="AH3" s="22" t="s">
        <v>7</v>
      </c>
      <c r="AI3" s="20" t="s">
        <v>1</v>
      </c>
      <c r="AJ3" s="37" t="s">
        <v>16</v>
      </c>
      <c r="AK3" s="22" t="s">
        <v>7</v>
      </c>
      <c r="AL3" s="20" t="s">
        <v>1</v>
      </c>
      <c r="AM3" s="37" t="s">
        <v>16</v>
      </c>
    </row>
    <row r="4" spans="1:39" x14ac:dyDescent="0.45">
      <c r="A4" s="35">
        <v>1</v>
      </c>
      <c r="B4" s="30">
        <v>9.8000000000000007</v>
      </c>
      <c r="C4" s="31">
        <v>0.77159999999999995</v>
      </c>
      <c r="D4" s="11">
        <f>'IEEE 14-bus MW reduction data'!H4</f>
        <v>-1.0922927856444957</v>
      </c>
      <c r="E4" s="12"/>
      <c r="F4" s="15">
        <f>D4*($B4*1000/100)</f>
        <v>-107.04469299316058</v>
      </c>
      <c r="G4" s="11">
        <f>'IEEE 14-bus MW reduction data'!I4</f>
        <v>-0.63070106506350143</v>
      </c>
      <c r="H4" s="12"/>
      <c r="I4" s="15">
        <f>G4*($B4*1000/100)</f>
        <v>-61.80870437622314</v>
      </c>
      <c r="J4" s="11">
        <f>'IEEE 14-bus MW reduction data'!J4</f>
        <v>-0.40576457977299896</v>
      </c>
      <c r="K4" s="12"/>
      <c r="L4" s="15">
        <f>J4*($B4*1000/100)</f>
        <v>-39.764928817753898</v>
      </c>
      <c r="M4" s="26">
        <f>'IEEE 14-bus MW reduction data'!Q4</f>
        <v>-1.7340507507324006</v>
      </c>
      <c r="N4" s="9"/>
      <c r="O4" s="15">
        <f>M4*($B4*1000/100)</f>
        <v>-169.93697357177524</v>
      </c>
      <c r="P4" s="26">
        <f>'IEEE 14-bus MW reduction data'!R4</f>
        <v>-0.41671371459960227</v>
      </c>
      <c r="Q4" s="9"/>
      <c r="R4" s="15">
        <f>P4*($B4*1000/100)</f>
        <v>-40.837944030761022</v>
      </c>
      <c r="S4" s="26">
        <f>'IEEE 14-bus MW reduction data'!S4</f>
        <v>-0.13124752044679866</v>
      </c>
      <c r="T4" s="9"/>
      <c r="U4" s="15">
        <f>S4*($B4*1000/100)</f>
        <v>-12.862257003786269</v>
      </c>
      <c r="V4" s="27">
        <f>'IEEE 14-bus MW reduction data'!Z4</f>
        <v>-0.3897705078125</v>
      </c>
      <c r="W4" s="14"/>
      <c r="X4" s="15">
        <f>V4*($B4*1000/100)</f>
        <v>-38.197509765625</v>
      </c>
      <c r="Y4" s="27">
        <f>'IEEE 14-bus MW reduction data'!AA4</f>
        <v>-0.44854736328120026</v>
      </c>
      <c r="Z4" s="14"/>
      <c r="AA4" s="15">
        <f>Y4*($B4*1000/100)</f>
        <v>-43.957641601557626</v>
      </c>
      <c r="AB4" s="27">
        <f>'IEEE 14-bus MW reduction data'!AB4</f>
        <v>-0.34740257263189989</v>
      </c>
      <c r="AC4" s="14"/>
      <c r="AD4" s="15">
        <f>AB4*($B4*1000/100)</f>
        <v>-34.045452117926189</v>
      </c>
      <c r="AE4" s="10">
        <f>AVERAGE(V4,M4,D4)</f>
        <v>-1.0720380147297988</v>
      </c>
      <c r="AF4" s="12"/>
      <c r="AG4" s="15">
        <f>AE4*($B4*1000/100)</f>
        <v>-105.05972544352028</v>
      </c>
      <c r="AH4" s="10">
        <f>AVERAGE(Y4,P4,G4)</f>
        <v>-0.49865404764810134</v>
      </c>
      <c r="AI4" s="12"/>
      <c r="AJ4" s="15">
        <f>AH4*($B4*1000/100)</f>
        <v>-48.868096669513932</v>
      </c>
      <c r="AK4" s="10">
        <f>AVERAGE(AB4,S4,J4)</f>
        <v>-0.29480489095056583</v>
      </c>
      <c r="AL4" s="12"/>
      <c r="AM4" s="15">
        <f>AK4*($B4*1000/100)</f>
        <v>-28.890879313155452</v>
      </c>
    </row>
    <row r="5" spans="1:39" x14ac:dyDescent="0.45">
      <c r="A5" s="35">
        <v>2</v>
      </c>
      <c r="B5" s="30">
        <v>9.8000000000000007</v>
      </c>
      <c r="C5" s="31">
        <v>0.75170000000000003</v>
      </c>
      <c r="D5" s="11">
        <f>'IEEE 14-bus MW reduction data'!H5</f>
        <v>-1.0630607604981037</v>
      </c>
      <c r="E5" s="12"/>
      <c r="F5" s="15">
        <f t="shared" ref="F5:F27" si="0">D5*($B5*1000/100)</f>
        <v>-104.17995452881416</v>
      </c>
      <c r="G5" s="11">
        <f>'IEEE 14-bus MW reduction data'!I5</f>
        <v>-0.61417198181149857</v>
      </c>
      <c r="H5" s="12"/>
      <c r="I5" s="15">
        <f t="shared" ref="I5:I27" si="1">G5*($B5*1000/100)</f>
        <v>-60.18885421752686</v>
      </c>
      <c r="J5" s="11">
        <f>'IEEE 14-bus MW reduction data'!J5</f>
        <v>-0.3949956893921005</v>
      </c>
      <c r="K5" s="12"/>
      <c r="L5" s="15">
        <f t="shared" ref="L5:L27" si="2">J5*($B5*1000/100)</f>
        <v>-38.709577560425849</v>
      </c>
      <c r="M5" s="26">
        <f>'IEEE 14-bus MW reduction data'!Q5</f>
        <v>-1.7135658264160014</v>
      </c>
      <c r="N5" s="9"/>
      <c r="O5" s="15">
        <f t="shared" ref="O5:O27" si="3">M5*($B5*1000/100)</f>
        <v>-167.92945098876814</v>
      </c>
      <c r="P5" s="26">
        <f>'IEEE 14-bus MW reduction data'!R5</f>
        <v>-0.41269302368160155</v>
      </c>
      <c r="Q5" s="9"/>
      <c r="R5" s="15">
        <f t="shared" ref="R5:R27" si="4">P5*($B5*1000/100)</f>
        <v>-40.443916320796951</v>
      </c>
      <c r="S5" s="26">
        <f>'IEEE 14-bus MW reduction data'!S5</f>
        <v>-0.13017177581790129</v>
      </c>
      <c r="T5" s="9"/>
      <c r="U5" s="15">
        <f t="shared" ref="U5:U27" si="5">S5*($B5*1000/100)</f>
        <v>-12.756834030154327</v>
      </c>
      <c r="V5" s="27">
        <f>'IEEE 14-bus MW reduction data'!Z5</f>
        <v>-0.37919235229490056</v>
      </c>
      <c r="W5" s="14"/>
      <c r="X5" s="15">
        <f t="shared" ref="X5:X27" si="6">V5*($B5*1000/100)</f>
        <v>-37.160850524900255</v>
      </c>
      <c r="Y5" s="27">
        <f>'IEEE 14-bus MW reduction data'!AA5</f>
        <v>-0.43674659728999998</v>
      </c>
      <c r="Z5" s="14"/>
      <c r="AA5" s="15">
        <f t="shared" ref="AA5:AA27" si="7">Y5*($B5*1000/100)</f>
        <v>-42.801166534419998</v>
      </c>
      <c r="AB5" s="27">
        <f>'IEEE 14-bus MW reduction data'!AB5</f>
        <v>-0.33810615539550071</v>
      </c>
      <c r="AC5" s="14"/>
      <c r="AD5" s="15">
        <f t="shared" ref="AD5:AD27" si="8">AB5*($B5*1000/100)</f>
        <v>-33.134403228759069</v>
      </c>
      <c r="AE5" s="10">
        <f t="shared" ref="AE5:AE27" si="9">AVERAGE(V5,M5,D5)</f>
        <v>-1.051939646403002</v>
      </c>
      <c r="AF5" s="12"/>
      <c r="AG5" s="15">
        <f t="shared" ref="AG5:AG27" si="10">AE5*($B5*1000/100)</f>
        <v>-103.0900853474942</v>
      </c>
      <c r="AH5" s="10">
        <f t="shared" ref="AH5:AH27" si="11">AVERAGE(Y5,P5,G5)</f>
        <v>-0.48787053426103338</v>
      </c>
      <c r="AI5" s="12"/>
      <c r="AJ5" s="15">
        <f t="shared" ref="AJ5:AJ27" si="12">AH5*($B5*1000/100)</f>
        <v>-47.811312357581272</v>
      </c>
      <c r="AK5" s="10">
        <f t="shared" ref="AK5:AK27" si="13">AVERAGE(AB5,S5,J5)</f>
        <v>-0.28775787353516752</v>
      </c>
      <c r="AL5" s="12"/>
      <c r="AM5" s="15">
        <f t="shared" ref="AM5:AM27" si="14">AK5*($B5*1000/100)</f>
        <v>-28.200271606446417</v>
      </c>
    </row>
    <row r="6" spans="1:39" x14ac:dyDescent="0.45">
      <c r="A6" s="35">
        <v>3</v>
      </c>
      <c r="B6" s="30">
        <v>9.8000000000000007</v>
      </c>
      <c r="C6" s="31">
        <v>0.74070000000000003</v>
      </c>
      <c r="D6" s="11">
        <f>'IEEE 14-bus MW reduction data'!H6</f>
        <v>-1.0434532165527983</v>
      </c>
      <c r="E6" s="12"/>
      <c r="F6" s="15">
        <f t="shared" si="0"/>
        <v>-102.25841522217424</v>
      </c>
      <c r="G6" s="11">
        <f>'IEEE 14-bus MW reduction data'!I6</f>
        <v>-0.60416030883790128</v>
      </c>
      <c r="H6" s="12"/>
      <c r="I6" s="15">
        <f t="shared" si="1"/>
        <v>-59.207710266114326</v>
      </c>
      <c r="J6" s="11">
        <f>'IEEE 14-bus MW reduction data'!J6</f>
        <v>-0.38877487182619852</v>
      </c>
      <c r="K6" s="12"/>
      <c r="L6" s="15">
        <f t="shared" si="2"/>
        <v>-38.099937438967459</v>
      </c>
      <c r="M6" s="26">
        <f>'IEEE 14-bus MW reduction data'!Q6</f>
        <v>-1.698024749755902</v>
      </c>
      <c r="N6" s="9"/>
      <c r="O6" s="15">
        <f t="shared" si="3"/>
        <v>-166.4064254760784</v>
      </c>
      <c r="P6" s="26">
        <f>'IEEE 14-bus MW reduction data'!R6</f>
        <v>-0.40924263000490058</v>
      </c>
      <c r="Q6" s="9"/>
      <c r="R6" s="15">
        <f t="shared" si="4"/>
        <v>-40.105777740480256</v>
      </c>
      <c r="S6" s="26">
        <f>'IEEE 14-bus MW reduction data'!S6</f>
        <v>-0.12911510467530007</v>
      </c>
      <c r="T6" s="9"/>
      <c r="U6" s="15">
        <f t="shared" si="5"/>
        <v>-12.653280258179407</v>
      </c>
      <c r="V6" s="27">
        <f>'IEEE 14-bus MW reduction data'!Z6</f>
        <v>-0.36986923217779832</v>
      </c>
      <c r="W6" s="14"/>
      <c r="X6" s="15">
        <f t="shared" si="6"/>
        <v>-36.247184753424236</v>
      </c>
      <c r="Y6" s="27">
        <f>'IEEE 14-bus MW reduction data'!AA6</f>
        <v>-0.42936134338379972</v>
      </c>
      <c r="Z6" s="14"/>
      <c r="AA6" s="15">
        <f t="shared" si="7"/>
        <v>-42.077411651612373</v>
      </c>
      <c r="AB6" s="27">
        <f>'IEEE 14-bus MW reduction data'!AB6</f>
        <v>-0.33272171020509944</v>
      </c>
      <c r="AC6" s="14"/>
      <c r="AD6" s="15">
        <f t="shared" si="8"/>
        <v>-32.606727600099745</v>
      </c>
      <c r="AE6" s="10">
        <f t="shared" si="9"/>
        <v>-1.037115732828833</v>
      </c>
      <c r="AF6" s="12"/>
      <c r="AG6" s="15">
        <f t="shared" si="10"/>
        <v>-101.63734181722563</v>
      </c>
      <c r="AH6" s="10">
        <f t="shared" si="11"/>
        <v>-0.48092142740886717</v>
      </c>
      <c r="AI6" s="12"/>
      <c r="AJ6" s="15">
        <f t="shared" si="12"/>
        <v>-47.130299886068983</v>
      </c>
      <c r="AK6" s="10">
        <f t="shared" si="13"/>
        <v>-0.28353722890219935</v>
      </c>
      <c r="AL6" s="12"/>
      <c r="AM6" s="15">
        <f t="shared" si="14"/>
        <v>-27.786648432415536</v>
      </c>
    </row>
    <row r="7" spans="1:39" x14ac:dyDescent="0.45">
      <c r="A7" s="35">
        <v>4</v>
      </c>
      <c r="B7" s="30">
        <v>9.8000000000000007</v>
      </c>
      <c r="C7" s="31">
        <v>0.73980000000000001</v>
      </c>
      <c r="D7" s="11">
        <f>'IEEE 14-bus MW reduction data'!H7</f>
        <v>-1.0418586730957955</v>
      </c>
      <c r="E7" s="12"/>
      <c r="F7" s="15">
        <f t="shared" si="0"/>
        <v>-102.10214996338796</v>
      </c>
      <c r="G7" s="11">
        <f>'IEEE 14-bus MW reduction data'!I7</f>
        <v>-0.6033420562744034</v>
      </c>
      <c r="H7" s="12"/>
      <c r="I7" s="15">
        <f t="shared" si="1"/>
        <v>-59.127521514891534</v>
      </c>
      <c r="J7" s="11">
        <f>'IEEE 14-bus MW reduction data'!J7</f>
        <v>-0.38826751708990059</v>
      </c>
      <c r="K7" s="12"/>
      <c r="L7" s="15">
        <f t="shared" si="2"/>
        <v>-38.050216674810258</v>
      </c>
      <c r="M7" s="26">
        <f>'IEEE 14-bus MW reduction data'!Q7</f>
        <v>-1.6967353820800994</v>
      </c>
      <c r="N7" s="9"/>
      <c r="O7" s="15">
        <f t="shared" si="3"/>
        <v>-166.28006744384976</v>
      </c>
      <c r="P7" s="26">
        <f>'IEEE 14-bus MW reduction data'!R7</f>
        <v>-0.40895652770990054</v>
      </c>
      <c r="Q7" s="9"/>
      <c r="R7" s="15">
        <f t="shared" si="4"/>
        <v>-40.077739715570253</v>
      </c>
      <c r="S7" s="26">
        <f>'IEEE 14-bus MW reduction data'!S7</f>
        <v>-0.1290283203125</v>
      </c>
      <c r="T7" s="9"/>
      <c r="U7" s="15">
        <f t="shared" si="5"/>
        <v>-12.644775390625</v>
      </c>
      <c r="V7" s="27">
        <f>'IEEE 14-bus MW reduction data'!Z7</f>
        <v>-0.36910247802739349</v>
      </c>
      <c r="W7" s="14"/>
      <c r="X7" s="15">
        <f t="shared" si="6"/>
        <v>-36.172042846684562</v>
      </c>
      <c r="Y7" s="27">
        <f>'IEEE 14-bus MW reduction data'!AA7</f>
        <v>-0.42875862121580255</v>
      </c>
      <c r="Z7" s="14"/>
      <c r="AA7" s="15">
        <f t="shared" si="7"/>
        <v>-42.01834487914865</v>
      </c>
      <c r="AB7" s="27">
        <f>'IEEE 14-bus MW reduction data'!AB7</f>
        <v>-0.33228015899659979</v>
      </c>
      <c r="AC7" s="14"/>
      <c r="AD7" s="15">
        <f t="shared" si="8"/>
        <v>-32.56345558166678</v>
      </c>
      <c r="AE7" s="10">
        <f t="shared" si="9"/>
        <v>-1.0358988444010961</v>
      </c>
      <c r="AF7" s="12"/>
      <c r="AG7" s="15">
        <f t="shared" si="10"/>
        <v>-101.51808675130742</v>
      </c>
      <c r="AH7" s="10">
        <f t="shared" si="11"/>
        <v>-0.48035240173336885</v>
      </c>
      <c r="AI7" s="12"/>
      <c r="AJ7" s="15">
        <f t="shared" si="12"/>
        <v>-47.074535369870148</v>
      </c>
      <c r="AK7" s="10">
        <f t="shared" si="13"/>
        <v>-0.28319199879966678</v>
      </c>
      <c r="AL7" s="12"/>
      <c r="AM7" s="15">
        <f t="shared" si="14"/>
        <v>-27.752815882367344</v>
      </c>
    </row>
    <row r="8" spans="1:39" x14ac:dyDescent="0.45">
      <c r="A8" s="35">
        <v>5</v>
      </c>
      <c r="B8" s="30">
        <v>9.8000000000000007</v>
      </c>
      <c r="C8" s="31">
        <v>0.75629999999999997</v>
      </c>
      <c r="D8" s="11">
        <f>'IEEE 14-bus MW reduction data'!H8</f>
        <v>-1.0702514648437003</v>
      </c>
      <c r="E8" s="12"/>
      <c r="F8" s="15">
        <f t="shared" si="0"/>
        <v>-104.88464355468263</v>
      </c>
      <c r="G8" s="11">
        <f>'IEEE 14-bus MW reduction data'!I8</f>
        <v>-0.61810493469240058</v>
      </c>
      <c r="H8" s="12"/>
      <c r="I8" s="15">
        <f t="shared" si="1"/>
        <v>-60.574283599855256</v>
      </c>
      <c r="J8" s="11">
        <f>'IEEE 14-bus MW reduction data'!J8</f>
        <v>-0.39751625061039952</v>
      </c>
      <c r="K8" s="12"/>
      <c r="L8" s="15">
        <f t="shared" si="2"/>
        <v>-38.956592559819157</v>
      </c>
      <c r="M8" s="26">
        <f>'IEEE 14-bus MW reduction data'!Q8</f>
        <v>-1.7188949584961009</v>
      </c>
      <c r="N8" s="9"/>
      <c r="O8" s="15">
        <f t="shared" si="3"/>
        <v>-168.45170593261787</v>
      </c>
      <c r="P8" s="26">
        <f>'IEEE 14-bus MW reduction data'!R8</f>
        <v>-0.41383361816409803</v>
      </c>
      <c r="Q8" s="9"/>
      <c r="R8" s="15">
        <f t="shared" si="4"/>
        <v>-40.555694580081607</v>
      </c>
      <c r="S8" s="26">
        <f>'IEEE 14-bus MW reduction data'!S8</f>
        <v>-0.1305131912231996</v>
      </c>
      <c r="T8" s="9"/>
      <c r="U8" s="15">
        <f t="shared" si="5"/>
        <v>-12.790292739873561</v>
      </c>
      <c r="V8" s="27">
        <f>'IEEE 14-bus MW reduction data'!Z8</f>
        <v>-0.38206481933590197</v>
      </c>
      <c r="W8" s="14"/>
      <c r="X8" s="15">
        <f t="shared" si="6"/>
        <v>-37.442352294918393</v>
      </c>
      <c r="Y8" s="27">
        <f>'IEEE 14-bus MW reduction data'!AA8</f>
        <v>-0.43957138061529832</v>
      </c>
      <c r="Z8" s="14"/>
      <c r="AA8" s="15">
        <f t="shared" si="7"/>
        <v>-43.077995300299236</v>
      </c>
      <c r="AB8" s="27">
        <f>'IEEE 14-bus MW reduction data'!AB8</f>
        <v>-0.34027576446539953</v>
      </c>
      <c r="AC8" s="14"/>
      <c r="AD8" s="15">
        <f t="shared" si="8"/>
        <v>-33.347024917609154</v>
      </c>
      <c r="AE8" s="10">
        <f t="shared" si="9"/>
        <v>-1.0570704142252343</v>
      </c>
      <c r="AF8" s="12"/>
      <c r="AG8" s="15">
        <f t="shared" si="10"/>
        <v>-103.59290059407296</v>
      </c>
      <c r="AH8" s="10">
        <f t="shared" si="11"/>
        <v>-0.49050331115726564</v>
      </c>
      <c r="AI8" s="12"/>
      <c r="AJ8" s="15">
        <f t="shared" si="12"/>
        <v>-48.069324493412033</v>
      </c>
      <c r="AK8" s="10">
        <f t="shared" si="13"/>
        <v>-0.2894350687663329</v>
      </c>
      <c r="AL8" s="12"/>
      <c r="AM8" s="15">
        <f t="shared" si="14"/>
        <v>-28.364636739100625</v>
      </c>
    </row>
    <row r="9" spans="1:39" x14ac:dyDescent="0.45">
      <c r="A9" s="35">
        <v>6</v>
      </c>
      <c r="B9" s="30">
        <v>9.8000000000000007</v>
      </c>
      <c r="C9" s="31">
        <v>0.79859999999999998</v>
      </c>
      <c r="D9" s="11">
        <f>'IEEE 14-bus MW reduction data'!H9</f>
        <v>-1.1311798095703054</v>
      </c>
      <c r="E9" s="12"/>
      <c r="F9" s="15">
        <f t="shared" si="0"/>
        <v>-110.85562133788993</v>
      </c>
      <c r="G9" s="11">
        <f>'IEEE 14-bus MW reduction data'!I9</f>
        <v>-0.65290451049810017</v>
      </c>
      <c r="H9" s="12"/>
      <c r="I9" s="15">
        <f t="shared" si="1"/>
        <v>-63.984642028813816</v>
      </c>
      <c r="J9" s="11">
        <f>'IEEE 14-bus MW reduction data'!J9</f>
        <v>-0.42031288146970169</v>
      </c>
      <c r="K9" s="12"/>
      <c r="L9" s="15">
        <f t="shared" si="2"/>
        <v>-41.190662384030766</v>
      </c>
      <c r="M9" s="26">
        <f>'IEEE 14-bus MW reduction data'!Q9</f>
        <v>-1.7583847045899006</v>
      </c>
      <c r="N9" s="9"/>
      <c r="O9" s="15">
        <f t="shared" si="3"/>
        <v>-172.32170104981026</v>
      </c>
      <c r="P9" s="26">
        <f>'IEEE 14-bus MW reduction data'!R9</f>
        <v>-0.4220199584960973</v>
      </c>
      <c r="Q9" s="9"/>
      <c r="R9" s="15">
        <f t="shared" si="4"/>
        <v>-41.357955932617536</v>
      </c>
      <c r="S9" s="26">
        <f>'IEEE 14-bus MW reduction data'!S9</f>
        <v>-0.13310813903800067</v>
      </c>
      <c r="T9" s="9"/>
      <c r="U9" s="15">
        <f t="shared" si="5"/>
        <v>-13.044597625724066</v>
      </c>
      <c r="V9" s="27">
        <f>'IEEE 14-bus MW reduction data'!Z9</f>
        <v>-0.40315628051759944</v>
      </c>
      <c r="W9" s="14"/>
      <c r="X9" s="15">
        <f t="shared" si="6"/>
        <v>-39.509315490724745</v>
      </c>
      <c r="Y9" s="27">
        <f>'IEEE 14-bus MW reduction data'!AA9</f>
        <v>-0.46429443359379974</v>
      </c>
      <c r="Z9" s="14"/>
      <c r="AA9" s="15">
        <f t="shared" si="7"/>
        <v>-45.500854492192374</v>
      </c>
      <c r="AB9" s="27">
        <f>'IEEE 14-bus MW reduction data'!AB9</f>
        <v>-0.35992908477780006</v>
      </c>
      <c r="AC9" s="14"/>
      <c r="AD9" s="15">
        <f t="shared" si="8"/>
        <v>-35.273050308224406</v>
      </c>
      <c r="AE9" s="10">
        <f t="shared" si="9"/>
        <v>-1.0975735982259351</v>
      </c>
      <c r="AF9" s="12"/>
      <c r="AG9" s="15">
        <f t="shared" si="10"/>
        <v>-107.56221262614164</v>
      </c>
      <c r="AH9" s="10">
        <f t="shared" si="11"/>
        <v>-0.5130729675293324</v>
      </c>
      <c r="AI9" s="12"/>
      <c r="AJ9" s="15">
        <f t="shared" si="12"/>
        <v>-50.281150817874575</v>
      </c>
      <c r="AK9" s="10">
        <f t="shared" si="13"/>
        <v>-0.30445003509516749</v>
      </c>
      <c r="AL9" s="12"/>
      <c r="AM9" s="15">
        <f t="shared" si="14"/>
        <v>-29.836103439326415</v>
      </c>
    </row>
    <row r="10" spans="1:39" x14ac:dyDescent="0.45">
      <c r="A10" s="35">
        <v>7</v>
      </c>
      <c r="B10" s="30">
        <v>9.8000000000000007</v>
      </c>
      <c r="C10" s="31">
        <v>0.86260000000000003</v>
      </c>
      <c r="D10" s="11">
        <f>'IEEE 14-bus MW reduction data'!H10</f>
        <v>-1.264736175537049</v>
      </c>
      <c r="E10" s="12"/>
      <c r="F10" s="15">
        <f t="shared" si="0"/>
        <v>-123.94414520263081</v>
      </c>
      <c r="G10" s="11">
        <f>'IEEE 14-bus MW reduction data'!I10</f>
        <v>-0.71594333648685193</v>
      </c>
      <c r="H10" s="12"/>
      <c r="I10" s="15">
        <f t="shared" si="1"/>
        <v>-70.162446975711489</v>
      </c>
      <c r="J10" s="11">
        <f>'IEEE 14-bus MW reduction data'!J10</f>
        <v>-0.4580020904540989</v>
      </c>
      <c r="K10" s="12"/>
      <c r="L10" s="15">
        <f t="shared" si="2"/>
        <v>-44.88420486450169</v>
      </c>
      <c r="M10" s="26">
        <f>'IEEE 14-bus MW reduction data'!Q10</f>
        <v>-1.8033866882324006</v>
      </c>
      <c r="N10" s="9"/>
      <c r="O10" s="15">
        <f t="shared" si="3"/>
        <v>-176.73189544677524</v>
      </c>
      <c r="P10" s="26">
        <f>'IEEE 14-bus MW reduction data'!R10</f>
        <v>-0.43034172058110087</v>
      </c>
      <c r="Q10" s="9"/>
      <c r="R10" s="15">
        <f t="shared" si="4"/>
        <v>-42.173488616947886</v>
      </c>
      <c r="S10" s="26">
        <f>'IEEE 14-bus MW reduction data'!S10</f>
        <v>-0.13557529449459871</v>
      </c>
      <c r="T10" s="9"/>
      <c r="U10" s="15">
        <f t="shared" si="5"/>
        <v>-13.286378860470673</v>
      </c>
      <c r="V10" s="27">
        <f>'IEEE 14-bus MW reduction data'!Z10</f>
        <v>-0.43453407287595169</v>
      </c>
      <c r="W10" s="14"/>
      <c r="X10" s="15">
        <f t="shared" si="6"/>
        <v>-42.584339141843266</v>
      </c>
      <c r="Y10" s="27">
        <f>'IEEE 14-bus MW reduction data'!AA10</f>
        <v>-0.50111961364750002</v>
      </c>
      <c r="Z10" s="14"/>
      <c r="AA10" s="15">
        <f t="shared" si="7"/>
        <v>-49.109722137455002</v>
      </c>
      <c r="AB10" s="27">
        <f>'IEEE 14-bus MW reduction data'!AB10</f>
        <v>-0.38932037353515003</v>
      </c>
      <c r="AC10" s="14"/>
      <c r="AD10" s="15">
        <f t="shared" si="8"/>
        <v>-38.153396606444701</v>
      </c>
      <c r="AE10" s="10">
        <f t="shared" si="9"/>
        <v>-1.1675523122151337</v>
      </c>
      <c r="AF10" s="12"/>
      <c r="AG10" s="15">
        <f t="shared" si="10"/>
        <v>-114.4201265970831</v>
      </c>
      <c r="AH10" s="10">
        <f t="shared" si="11"/>
        <v>-0.54913489023848427</v>
      </c>
      <c r="AI10" s="12"/>
      <c r="AJ10" s="15">
        <f t="shared" si="12"/>
        <v>-53.815219243371459</v>
      </c>
      <c r="AK10" s="10">
        <f t="shared" si="13"/>
        <v>-0.32763258616128255</v>
      </c>
      <c r="AL10" s="12"/>
      <c r="AM10" s="15">
        <f t="shared" si="14"/>
        <v>-32.10799344380569</v>
      </c>
    </row>
    <row r="11" spans="1:39" x14ac:dyDescent="0.45">
      <c r="A11" s="35">
        <v>8</v>
      </c>
      <c r="B11" s="30">
        <v>20.3</v>
      </c>
      <c r="C11" s="31">
        <v>0.90590000000000004</v>
      </c>
      <c r="D11" s="11">
        <f>'IEEE 14-bus MW reduction data'!H11</f>
        <v>-1.3754577636718999</v>
      </c>
      <c r="E11" s="12"/>
      <c r="F11" s="15">
        <f t="shared" si="0"/>
        <v>-279.21792602539568</v>
      </c>
      <c r="G11" s="11">
        <f>'IEEE 14-bus MW reduction data'!I11</f>
        <v>-0.75827407836914951</v>
      </c>
      <c r="H11" s="12"/>
      <c r="I11" s="15">
        <f t="shared" si="1"/>
        <v>-153.92963790893734</v>
      </c>
      <c r="J11" s="11">
        <f>'IEEE 14-bus MW reduction data'!J11</f>
        <v>-0.48037004470825018</v>
      </c>
      <c r="K11" s="12"/>
      <c r="L11" s="15">
        <f t="shared" si="2"/>
        <v>-97.515119075774791</v>
      </c>
      <c r="M11" s="26">
        <f>'IEEE 14-bus MW reduction data'!Q11</f>
        <v>-1.8232879638672017</v>
      </c>
      <c r="N11" s="9"/>
      <c r="O11" s="15">
        <f t="shared" si="3"/>
        <v>-370.12745666504196</v>
      </c>
      <c r="P11" s="26">
        <f>'IEEE 14-bus MW reduction data'!R11</f>
        <v>-0.43325424194339845</v>
      </c>
      <c r="Q11" s="9"/>
      <c r="R11" s="15">
        <f t="shared" si="4"/>
        <v>-87.950611114509883</v>
      </c>
      <c r="S11" s="26">
        <f>'IEEE 14-bus MW reduction data'!S11</f>
        <v>-0.13638114929200107</v>
      </c>
      <c r="T11" s="9"/>
      <c r="U11" s="15">
        <f t="shared" si="5"/>
        <v>-27.685373306276219</v>
      </c>
      <c r="V11" s="27">
        <f>'IEEE 14-bus MW reduction data'!Z11</f>
        <v>-0.45157051086425071</v>
      </c>
      <c r="W11" s="14"/>
      <c r="X11" s="15">
        <f t="shared" si="6"/>
        <v>-91.668813705442886</v>
      </c>
      <c r="Y11" s="27">
        <f>'IEEE 14-bus MW reduction data'!AA11</f>
        <v>-0.51922225952150036</v>
      </c>
      <c r="Z11" s="14"/>
      <c r="AA11" s="15">
        <f t="shared" si="7"/>
        <v>-105.40211868286457</v>
      </c>
      <c r="AB11" s="27">
        <f>'IEEE 14-bus MW reduction data'!AB11</f>
        <v>-0.403938770294201</v>
      </c>
      <c r="AC11" s="14"/>
      <c r="AD11" s="15">
        <f t="shared" si="8"/>
        <v>-81.999570369722804</v>
      </c>
      <c r="AE11" s="10">
        <f t="shared" si="9"/>
        <v>-1.2167720794677841</v>
      </c>
      <c r="AF11" s="12"/>
      <c r="AG11" s="15">
        <f t="shared" si="10"/>
        <v>-247.00473213196017</v>
      </c>
      <c r="AH11" s="10">
        <f t="shared" si="11"/>
        <v>-0.57025019327801607</v>
      </c>
      <c r="AI11" s="12"/>
      <c r="AJ11" s="15">
        <f t="shared" si="12"/>
        <v>-115.76078923543726</v>
      </c>
      <c r="AK11" s="10">
        <f t="shared" si="13"/>
        <v>-0.34022998809815075</v>
      </c>
      <c r="AL11" s="12"/>
      <c r="AM11" s="15">
        <f t="shared" si="14"/>
        <v>-69.066687583924605</v>
      </c>
    </row>
    <row r="12" spans="1:39" x14ac:dyDescent="0.45">
      <c r="A12" s="35">
        <v>9</v>
      </c>
      <c r="B12" s="30">
        <v>20.3</v>
      </c>
      <c r="C12" s="31">
        <v>0.91810000000000003</v>
      </c>
      <c r="D12" s="11">
        <f>'IEEE 14-bus MW reduction data'!H12</f>
        <v>-1.3537178039550533</v>
      </c>
      <c r="E12" s="12"/>
      <c r="F12" s="15">
        <f t="shared" si="0"/>
        <v>-274.8047142028758</v>
      </c>
      <c r="G12" s="11">
        <f>'IEEE 14-bus MW reduction data'!I12</f>
        <v>-0.7400293350219993</v>
      </c>
      <c r="H12" s="12"/>
      <c r="I12" s="15">
        <f t="shared" si="1"/>
        <v>-150.22595500946585</v>
      </c>
      <c r="J12" s="11">
        <f>'IEEE 14-bus MW reduction data'!J12</f>
        <v>-0.46807146072384942</v>
      </c>
      <c r="K12" s="12"/>
      <c r="L12" s="15">
        <f t="shared" si="2"/>
        <v>-95.018506526941437</v>
      </c>
      <c r="M12" s="26">
        <f>'IEEE 14-bus MW reduction data'!Q12</f>
        <v>-1.8273048400879048</v>
      </c>
      <c r="N12" s="9"/>
      <c r="O12" s="15">
        <f t="shared" si="3"/>
        <v>-370.9428825378447</v>
      </c>
      <c r="P12" s="26">
        <f>'IEEE 14-bus MW reduction data'!R12</f>
        <v>-0.43366432189944959</v>
      </c>
      <c r="Q12" s="9"/>
      <c r="R12" s="15">
        <f t="shared" si="4"/>
        <v>-88.033857345588274</v>
      </c>
      <c r="S12" s="26">
        <f>'IEEE 14-bus MW reduction data'!S12</f>
        <v>-0.13648176193234907</v>
      </c>
      <c r="T12" s="9"/>
      <c r="U12" s="15">
        <f t="shared" si="5"/>
        <v>-27.705797672266861</v>
      </c>
      <c r="V12" s="27">
        <f>'IEEE 14-bus MW reduction data'!Z12</f>
        <v>-0.44458389282225497</v>
      </c>
      <c r="W12" s="14"/>
      <c r="X12" s="15">
        <f t="shared" si="6"/>
        <v>-90.250530242917762</v>
      </c>
      <c r="Y12" s="27">
        <f>'IEEE 14-bus MW reduction data'!AA12</f>
        <v>-0.50504112243650034</v>
      </c>
      <c r="Z12" s="14"/>
      <c r="AA12" s="15">
        <f t="shared" si="7"/>
        <v>-102.52334785460957</v>
      </c>
      <c r="AB12" s="27">
        <f>'IEEE 14-bus MW reduction data'!AB12</f>
        <v>-0.39300823211669922</v>
      </c>
      <c r="AC12" s="14"/>
      <c r="AD12" s="15">
        <f t="shared" si="8"/>
        <v>-79.780671119689941</v>
      </c>
      <c r="AE12" s="10">
        <f t="shared" si="9"/>
        <v>-1.2085355122884043</v>
      </c>
      <c r="AF12" s="12"/>
      <c r="AG12" s="15">
        <f t="shared" si="10"/>
        <v>-245.33270899454607</v>
      </c>
      <c r="AH12" s="10">
        <f t="shared" si="11"/>
        <v>-0.55957825978598308</v>
      </c>
      <c r="AI12" s="12"/>
      <c r="AJ12" s="15">
        <f t="shared" si="12"/>
        <v>-113.59438673655457</v>
      </c>
      <c r="AK12" s="10">
        <f t="shared" si="13"/>
        <v>-0.33252048492429925</v>
      </c>
      <c r="AL12" s="12"/>
      <c r="AM12" s="15">
        <f t="shared" si="14"/>
        <v>-67.501658439632749</v>
      </c>
    </row>
    <row r="13" spans="1:39" x14ac:dyDescent="0.45">
      <c r="A13" s="35">
        <v>10</v>
      </c>
      <c r="B13" s="30">
        <v>20.3</v>
      </c>
      <c r="C13" s="31">
        <v>0.92300000000000004</v>
      </c>
      <c r="D13" s="11">
        <f>'IEEE 14-bus MW reduction data'!H13</f>
        <v>-1.2863254547118999</v>
      </c>
      <c r="E13" s="12"/>
      <c r="F13" s="15">
        <f t="shared" si="0"/>
        <v>-261.12406730651566</v>
      </c>
      <c r="G13" s="11">
        <f>'IEEE 14-bus MW reduction data'!I13</f>
        <v>-0.69973087310789772</v>
      </c>
      <c r="H13" s="12"/>
      <c r="I13" s="15">
        <f t="shared" si="1"/>
        <v>-142.04536724090323</v>
      </c>
      <c r="J13" s="11">
        <f>'IEEE 14-bus MW reduction data'!J13</f>
        <v>-0.44289875030520065</v>
      </c>
      <c r="K13" s="12"/>
      <c r="L13" s="15">
        <f t="shared" si="2"/>
        <v>-89.908446311955728</v>
      </c>
      <c r="M13" s="26">
        <f>'IEEE 14-bus MW reduction data'!Q13</f>
        <v>-1.828720092773402</v>
      </c>
      <c r="N13" s="9"/>
      <c r="O13" s="15">
        <f t="shared" si="3"/>
        <v>-371.23017883300059</v>
      </c>
      <c r="P13" s="26">
        <f>'IEEE 14-bus MW reduction data'!R13</f>
        <v>-0.43356800079340019</v>
      </c>
      <c r="Q13" s="9"/>
      <c r="R13" s="15">
        <f t="shared" si="4"/>
        <v>-88.014304161060238</v>
      </c>
      <c r="S13" s="26">
        <f>'IEEE 14-bus MW reduction data'!S13</f>
        <v>-0.13631200790400033</v>
      </c>
      <c r="T13" s="9"/>
      <c r="U13" s="15">
        <f t="shared" si="5"/>
        <v>-27.671337604512068</v>
      </c>
      <c r="V13" s="27">
        <f>'IEEE 14-bus MW reduction data'!Z13</f>
        <v>-0.42890548706055043</v>
      </c>
      <c r="W13" s="14"/>
      <c r="X13" s="15">
        <f t="shared" si="6"/>
        <v>-87.06781387329174</v>
      </c>
      <c r="Y13" s="27">
        <f>'IEEE 14-bus MW reduction data'!AA13</f>
        <v>-0.47835063934324928</v>
      </c>
      <c r="Z13" s="14"/>
      <c r="AA13" s="15">
        <f t="shared" si="7"/>
        <v>-97.105179786679599</v>
      </c>
      <c r="AB13" s="27">
        <f>'IEEE 14-bus MW reduction data'!AB13</f>
        <v>-0.37223768234250088</v>
      </c>
      <c r="AC13" s="14"/>
      <c r="AD13" s="15">
        <f t="shared" si="8"/>
        <v>-75.564249515527678</v>
      </c>
      <c r="AE13" s="10">
        <f t="shared" si="9"/>
        <v>-1.181317011515284</v>
      </c>
      <c r="AF13" s="12"/>
      <c r="AG13" s="15">
        <f t="shared" si="10"/>
        <v>-239.80735333760265</v>
      </c>
      <c r="AH13" s="10">
        <f t="shared" si="11"/>
        <v>-0.53721650441484903</v>
      </c>
      <c r="AI13" s="12"/>
      <c r="AJ13" s="15">
        <f t="shared" si="12"/>
        <v>-109.05495039621435</v>
      </c>
      <c r="AK13" s="10">
        <f t="shared" si="13"/>
        <v>-0.3171494801839006</v>
      </c>
      <c r="AL13" s="12"/>
      <c r="AM13" s="15">
        <f t="shared" si="14"/>
        <v>-64.381344477331822</v>
      </c>
    </row>
    <row r="14" spans="1:39" x14ac:dyDescent="0.45">
      <c r="A14" s="35">
        <v>11</v>
      </c>
      <c r="B14" s="30">
        <v>20.3</v>
      </c>
      <c r="C14" s="31">
        <v>0.92610000000000003</v>
      </c>
      <c r="D14" s="11">
        <f>'IEEE 14-bus MW reduction data'!H14</f>
        <v>-1.2110366821289524</v>
      </c>
      <c r="E14" s="12"/>
      <c r="F14" s="15">
        <f t="shared" si="0"/>
        <v>-245.84044647217735</v>
      </c>
      <c r="G14" s="11">
        <f>'IEEE 14-bus MW reduction data'!I14</f>
        <v>-0.65595531463620205</v>
      </c>
      <c r="H14" s="12"/>
      <c r="I14" s="15">
        <f t="shared" si="1"/>
        <v>-133.15892887114902</v>
      </c>
      <c r="J14" s="11">
        <f>'IEEE 14-bus MW reduction data'!J14</f>
        <v>-0.41576147079469994</v>
      </c>
      <c r="K14" s="12"/>
      <c r="L14" s="15">
        <f t="shared" si="2"/>
        <v>-84.399578571324085</v>
      </c>
      <c r="M14" s="26">
        <f>'IEEE 14-bus MW reduction data'!Q14</f>
        <v>-1.8127670288086506</v>
      </c>
      <c r="N14" s="9"/>
      <c r="O14" s="15">
        <f t="shared" si="3"/>
        <v>-367.99170684815607</v>
      </c>
      <c r="P14" s="26">
        <f>'IEEE 14-bus MW reduction data'!R14</f>
        <v>-0.42949295043945135</v>
      </c>
      <c r="Q14" s="9"/>
      <c r="R14" s="15">
        <f t="shared" si="4"/>
        <v>-87.187068939208629</v>
      </c>
      <c r="S14" s="26">
        <f>'IEEE 14-bus MW reduction data'!S14</f>
        <v>-0.13514852523804954</v>
      </c>
      <c r="T14" s="9"/>
      <c r="U14" s="15">
        <f t="shared" si="5"/>
        <v>-27.435150623324056</v>
      </c>
      <c r="V14" s="27">
        <f>'IEEE 14-bus MW reduction data'!Z14</f>
        <v>-0.41181564331060017</v>
      </c>
      <c r="W14" s="14"/>
      <c r="X14" s="15">
        <f t="shared" si="6"/>
        <v>-83.59857559205183</v>
      </c>
      <c r="Y14" s="27">
        <f>'IEEE 14-bus MW reduction data'!AA14</f>
        <v>-0.449784278869652</v>
      </c>
      <c r="Z14" s="14"/>
      <c r="AA14" s="15">
        <f t="shared" si="7"/>
        <v>-91.306208610539358</v>
      </c>
      <c r="AB14" s="27">
        <f>'IEEE 14-bus MW reduction data'!AB14</f>
        <v>-0.35000038146970081</v>
      </c>
      <c r="AC14" s="14"/>
      <c r="AD14" s="15">
        <f t="shared" si="8"/>
        <v>-71.050077438349263</v>
      </c>
      <c r="AE14" s="10">
        <f t="shared" si="9"/>
        <v>-1.1452064514160678</v>
      </c>
      <c r="AF14" s="12"/>
      <c r="AG14" s="15">
        <f t="shared" si="10"/>
        <v>-232.47690963746177</v>
      </c>
      <c r="AH14" s="10">
        <f t="shared" si="11"/>
        <v>-0.5117441813151018</v>
      </c>
      <c r="AI14" s="12"/>
      <c r="AJ14" s="15">
        <f t="shared" si="12"/>
        <v>-103.88406880696567</v>
      </c>
      <c r="AK14" s="10">
        <f t="shared" si="13"/>
        <v>-0.30030345916748341</v>
      </c>
      <c r="AL14" s="12"/>
      <c r="AM14" s="15">
        <f t="shared" si="14"/>
        <v>-60.961602210999132</v>
      </c>
    </row>
    <row r="15" spans="1:39" x14ac:dyDescent="0.45">
      <c r="A15" s="35">
        <v>12</v>
      </c>
      <c r="B15" s="30">
        <v>15.7</v>
      </c>
      <c r="C15" s="31">
        <v>0.92920000000000003</v>
      </c>
      <c r="D15" s="11">
        <f>'IEEE 14-bus MW reduction data'!H15</f>
        <v>-1.1722812652588033</v>
      </c>
      <c r="E15" s="12"/>
      <c r="F15" s="15">
        <f t="shared" si="0"/>
        <v>-184.0481586456321</v>
      </c>
      <c r="G15" s="11">
        <f>'IEEE 14-bus MW reduction data'!I15</f>
        <v>-0.63263416290285157</v>
      </c>
      <c r="H15" s="12"/>
      <c r="I15" s="15">
        <f t="shared" si="1"/>
        <v>-99.323563575747698</v>
      </c>
      <c r="J15" s="11">
        <f>'IEEE 14-bus MW reduction data'!J15</f>
        <v>-0.40115737915034977</v>
      </c>
      <c r="K15" s="12"/>
      <c r="L15" s="15">
        <f t="shared" si="2"/>
        <v>-62.981708526604912</v>
      </c>
      <c r="M15" s="26">
        <f>'IEEE 14-bus MW reduction data'!Q15</f>
        <v>-1.7346878051758026</v>
      </c>
      <c r="N15" s="9"/>
      <c r="O15" s="15">
        <f t="shared" si="3"/>
        <v>-272.34598541260101</v>
      </c>
      <c r="P15" s="26">
        <f>'IEEE 14-bus MW reduction data'!R15</f>
        <v>-0.40913105010990236</v>
      </c>
      <c r="Q15" s="9"/>
      <c r="R15" s="15">
        <f t="shared" si="4"/>
        <v>-64.233574867254674</v>
      </c>
      <c r="S15" s="26">
        <f>'IEEE 14-bus MW reduction data'!S15</f>
        <v>-0.12873649597164949</v>
      </c>
      <c r="T15" s="9"/>
      <c r="U15" s="15">
        <f t="shared" si="5"/>
        <v>-20.211629867548972</v>
      </c>
      <c r="V15" s="27">
        <f>'IEEE 14-bus MW reduction data'!Z15</f>
        <v>-0.4026527404785547</v>
      </c>
      <c r="W15" s="14"/>
      <c r="X15" s="15">
        <f t="shared" si="6"/>
        <v>-63.216480255133092</v>
      </c>
      <c r="Y15" s="27">
        <f>'IEEE 14-bus MW reduction data'!AA15</f>
        <v>-0.43416500091555044</v>
      </c>
      <c r="Z15" s="14"/>
      <c r="AA15" s="15">
        <f t="shared" si="7"/>
        <v>-68.163905143741417</v>
      </c>
      <c r="AB15" s="27">
        <f>'IEEE 14-bus MW reduction data'!AB15</f>
        <v>-0.33786392211909977</v>
      </c>
      <c r="AC15" s="14"/>
      <c r="AD15" s="15">
        <f t="shared" si="8"/>
        <v>-53.044635772698662</v>
      </c>
      <c r="AE15" s="10">
        <f t="shared" si="9"/>
        <v>-1.1032072703043869</v>
      </c>
      <c r="AF15" s="12"/>
      <c r="AG15" s="15">
        <f t="shared" si="10"/>
        <v>-173.20354143778874</v>
      </c>
      <c r="AH15" s="10">
        <f t="shared" si="11"/>
        <v>-0.49197673797610147</v>
      </c>
      <c r="AI15" s="12"/>
      <c r="AJ15" s="15">
        <f t="shared" si="12"/>
        <v>-77.24034786224793</v>
      </c>
      <c r="AK15" s="10">
        <f t="shared" si="13"/>
        <v>-0.28925259908036632</v>
      </c>
      <c r="AL15" s="12"/>
      <c r="AM15" s="15">
        <f t="shared" si="14"/>
        <v>-45.412658055617513</v>
      </c>
    </row>
    <row r="16" spans="1:39" x14ac:dyDescent="0.45">
      <c r="A16" s="35">
        <v>13</v>
      </c>
      <c r="B16" s="30">
        <v>15.7</v>
      </c>
      <c r="C16" s="31">
        <v>0.93220000000000003</v>
      </c>
      <c r="D16" s="11">
        <f>'IEEE 14-bus MW reduction data'!H16</f>
        <v>-1.1946830749512003</v>
      </c>
      <c r="E16" s="12"/>
      <c r="F16" s="15">
        <f t="shared" si="0"/>
        <v>-187.56524276733845</v>
      </c>
      <c r="G16" s="11">
        <f>'IEEE 14-bus MW reduction data'!I16</f>
        <v>-0.64363670349120206</v>
      </c>
      <c r="H16" s="12"/>
      <c r="I16" s="15">
        <f t="shared" si="1"/>
        <v>-101.05096244811872</v>
      </c>
      <c r="J16" s="11">
        <f>'IEEE 14-bus MW reduction data'!J16</f>
        <v>-0.40760660171505059</v>
      </c>
      <c r="K16" s="12"/>
      <c r="L16" s="15">
        <f t="shared" si="2"/>
        <v>-63.994236469262944</v>
      </c>
      <c r="M16" s="26">
        <f>'IEEE 14-bus MW reduction data'!Q16</f>
        <v>-1.7654304504394496</v>
      </c>
      <c r="N16" s="9"/>
      <c r="O16" s="15">
        <f t="shared" si="3"/>
        <v>-277.17258071899357</v>
      </c>
      <c r="P16" s="26">
        <f>'IEEE 14-bus MW reduction data'!R16</f>
        <v>-0.41693019866945136</v>
      </c>
      <c r="Q16" s="9"/>
      <c r="R16" s="15">
        <f t="shared" si="4"/>
        <v>-65.45804119110386</v>
      </c>
      <c r="S16" s="26">
        <f>'IEEE 14-bus MW reduction data'!S16</f>
        <v>-0.13118028640745116</v>
      </c>
      <c r="T16" s="9"/>
      <c r="U16" s="15">
        <f t="shared" si="5"/>
        <v>-20.595304965969831</v>
      </c>
      <c r="V16" s="27">
        <f>'IEEE 14-bus MW reduction data'!Z16</f>
        <v>-0.40694618225100143</v>
      </c>
      <c r="W16" s="14"/>
      <c r="X16" s="15">
        <f t="shared" si="6"/>
        <v>-63.890550613407228</v>
      </c>
      <c r="Y16" s="27">
        <f>'IEEE 14-bus MW reduction data'!AA16</f>
        <v>-0.44047260284425249</v>
      </c>
      <c r="Z16" s="14"/>
      <c r="AA16" s="15">
        <f t="shared" si="7"/>
        <v>-69.154198646547641</v>
      </c>
      <c r="AB16" s="27">
        <f>'IEEE 14-bus MW reduction data'!AB16</f>
        <v>-0.34281110763545097</v>
      </c>
      <c r="AC16" s="14"/>
      <c r="AD16" s="15">
        <f t="shared" si="8"/>
        <v>-53.821343898765804</v>
      </c>
      <c r="AE16" s="10">
        <f t="shared" si="9"/>
        <v>-1.1223532358805504</v>
      </c>
      <c r="AF16" s="12"/>
      <c r="AG16" s="15">
        <f t="shared" si="10"/>
        <v>-176.20945803324642</v>
      </c>
      <c r="AH16" s="10">
        <f t="shared" si="11"/>
        <v>-0.50034650166830197</v>
      </c>
      <c r="AI16" s="12"/>
      <c r="AJ16" s="15">
        <f t="shared" si="12"/>
        <v>-78.554400761923404</v>
      </c>
      <c r="AK16" s="10">
        <f t="shared" si="13"/>
        <v>-0.29386599858598422</v>
      </c>
      <c r="AL16" s="12"/>
      <c r="AM16" s="15">
        <f t="shared" si="14"/>
        <v>-46.136961777999524</v>
      </c>
    </row>
    <row r="17" spans="1:39" x14ac:dyDescent="0.45">
      <c r="A17" s="35">
        <v>14</v>
      </c>
      <c r="B17" s="30">
        <v>15.7</v>
      </c>
      <c r="C17" s="31">
        <v>0.93379999999999996</v>
      </c>
      <c r="D17" s="11">
        <f>'IEEE 14-bus MW reduction data'!H17</f>
        <v>-1.2227420806885014</v>
      </c>
      <c r="E17" s="12"/>
      <c r="F17" s="15">
        <f t="shared" si="0"/>
        <v>-191.97050666809471</v>
      </c>
      <c r="G17" s="11">
        <f>'IEEE 14-bus MW reduction data'!I17</f>
        <v>-0.65860080718995029</v>
      </c>
      <c r="H17" s="12"/>
      <c r="I17" s="15">
        <f t="shared" si="1"/>
        <v>-103.40032672882219</v>
      </c>
      <c r="J17" s="11">
        <f>'IEEE 14-bus MW reduction data'!J17</f>
        <v>-0.41663980484005059</v>
      </c>
      <c r="K17" s="12"/>
      <c r="L17" s="15">
        <f t="shared" si="2"/>
        <v>-65.412449359887944</v>
      </c>
      <c r="M17" s="26">
        <f>'IEEE 14-bus MW reduction data'!Q17</f>
        <v>-1.8092479705810973</v>
      </c>
      <c r="N17" s="9"/>
      <c r="O17" s="15">
        <f t="shared" si="3"/>
        <v>-284.05193138123229</v>
      </c>
      <c r="P17" s="26">
        <f>'IEEE 14-bus MW reduction data'!R17</f>
        <v>-0.4281854629516495</v>
      </c>
      <c r="Q17" s="9"/>
      <c r="R17" s="15">
        <f t="shared" si="4"/>
        <v>-67.225117683408968</v>
      </c>
      <c r="S17" s="26">
        <f>'IEEE 14-bus MW reduction data'!S17</f>
        <v>-0.13471794128415038</v>
      </c>
      <c r="T17" s="9"/>
      <c r="U17" s="15">
        <f t="shared" si="5"/>
        <v>-21.15071678161161</v>
      </c>
      <c r="V17" s="27">
        <f>'IEEE 14-bus MW reduction data'!Z17</f>
        <v>-0.41283416748050072</v>
      </c>
      <c r="W17" s="14"/>
      <c r="X17" s="15">
        <f t="shared" si="6"/>
        <v>-64.81496429443861</v>
      </c>
      <c r="Y17" s="27">
        <f>'IEEE 14-bus MW reduction data'!AA17</f>
        <v>-0.44970417022705078</v>
      </c>
      <c r="Z17" s="14"/>
      <c r="AA17" s="15">
        <f t="shared" si="7"/>
        <v>-70.603554725646973</v>
      </c>
      <c r="AB17" s="27">
        <f>'IEEE 14-bus MW reduction data'!AB17</f>
        <v>-0.35002326965330077</v>
      </c>
      <c r="AC17" s="14"/>
      <c r="AD17" s="15">
        <f t="shared" si="8"/>
        <v>-54.95365333556822</v>
      </c>
      <c r="AE17" s="10">
        <f t="shared" si="9"/>
        <v>-1.1482747395833666</v>
      </c>
      <c r="AF17" s="12"/>
      <c r="AG17" s="15">
        <f t="shared" si="10"/>
        <v>-180.27913411458854</v>
      </c>
      <c r="AH17" s="10">
        <f t="shared" si="11"/>
        <v>-0.51216348012288349</v>
      </c>
      <c r="AI17" s="12"/>
      <c r="AJ17" s="15">
        <f t="shared" si="12"/>
        <v>-80.409666379292702</v>
      </c>
      <c r="AK17" s="10">
        <f t="shared" si="13"/>
        <v>-0.3004603385925006</v>
      </c>
      <c r="AL17" s="12"/>
      <c r="AM17" s="15">
        <f t="shared" si="14"/>
        <v>-47.172273159022595</v>
      </c>
    </row>
    <row r="18" spans="1:39" x14ac:dyDescent="0.45">
      <c r="A18" s="35">
        <v>15</v>
      </c>
      <c r="B18" s="30">
        <v>15.7</v>
      </c>
      <c r="C18" s="31">
        <v>0.94040000000000001</v>
      </c>
      <c r="D18" s="11">
        <f>'IEEE 14-bus MW reduction data'!H18</f>
        <v>-1.3085479736327557</v>
      </c>
      <c r="E18" s="12"/>
      <c r="F18" s="15">
        <f t="shared" si="0"/>
        <v>-205.44203186034264</v>
      </c>
      <c r="G18" s="11">
        <f>'IEEE 14-bus MW reduction data'!I18</f>
        <v>-0.7032909393310014</v>
      </c>
      <c r="H18" s="12"/>
      <c r="I18" s="15">
        <f t="shared" si="1"/>
        <v>-110.41667747496722</v>
      </c>
      <c r="J18" s="11">
        <f>'IEEE 14-bus MW reduction data'!J18</f>
        <v>-0.4433908462524494</v>
      </c>
      <c r="K18" s="12"/>
      <c r="L18" s="15">
        <f t="shared" si="2"/>
        <v>-69.612362861634551</v>
      </c>
      <c r="M18" s="26">
        <f>'IEEE 14-bus MW reduction data'!Q18</f>
        <v>-1.8327903747558025</v>
      </c>
      <c r="N18" s="9"/>
      <c r="O18" s="15">
        <f t="shared" si="3"/>
        <v>-287.748088836661</v>
      </c>
      <c r="P18" s="26">
        <f>'IEEE 14-bus MW reduction data'!R18</f>
        <v>-0.43376445770260119</v>
      </c>
      <c r="Q18" s="9"/>
      <c r="R18" s="15">
        <f t="shared" si="4"/>
        <v>-68.101019859308394</v>
      </c>
      <c r="S18" s="26">
        <f>'IEEE 14-bus MW reduction data'!S18</f>
        <v>-0.1363492012023988</v>
      </c>
      <c r="T18" s="9"/>
      <c r="U18" s="15">
        <f t="shared" si="5"/>
        <v>-21.406824588776612</v>
      </c>
      <c r="V18" s="27">
        <f>'IEEE 14-bus MW reduction data'!Z18</f>
        <v>-0.43026161193840196</v>
      </c>
      <c r="W18" s="14"/>
      <c r="X18" s="15">
        <f t="shared" si="6"/>
        <v>-67.551073074329111</v>
      </c>
      <c r="Y18" s="27">
        <f>'IEEE 14-bus MW reduction data'!AA18</f>
        <v>-0.47662639617915126</v>
      </c>
      <c r="Z18" s="14"/>
      <c r="AA18" s="15">
        <f t="shared" si="7"/>
        <v>-74.830344200126746</v>
      </c>
      <c r="AB18" s="27">
        <f>'IEEE 14-bus MW reduction data'!AB18</f>
        <v>-0.37108325958254973</v>
      </c>
      <c r="AC18" s="14"/>
      <c r="AD18" s="15">
        <f t="shared" si="8"/>
        <v>-58.260071754460306</v>
      </c>
      <c r="AE18" s="10">
        <f t="shared" si="9"/>
        <v>-1.1905333201089867</v>
      </c>
      <c r="AF18" s="12"/>
      <c r="AG18" s="15">
        <f t="shared" si="10"/>
        <v>-186.91373125711092</v>
      </c>
      <c r="AH18" s="10">
        <f t="shared" si="11"/>
        <v>-0.53789393107091799</v>
      </c>
      <c r="AI18" s="12"/>
      <c r="AJ18" s="15">
        <f t="shared" si="12"/>
        <v>-84.449347178134119</v>
      </c>
      <c r="AK18" s="10">
        <f t="shared" si="13"/>
        <v>-0.31694110234579931</v>
      </c>
      <c r="AL18" s="12"/>
      <c r="AM18" s="15">
        <f t="shared" si="14"/>
        <v>-49.759753068290493</v>
      </c>
    </row>
    <row r="19" spans="1:39" x14ac:dyDescent="0.45">
      <c r="A19" s="35">
        <v>16</v>
      </c>
      <c r="B19" s="30">
        <v>15.7</v>
      </c>
      <c r="C19" s="31">
        <v>0.95940000000000003</v>
      </c>
      <c r="D19" s="11">
        <f>'IEEE 14-bus MW reduction data'!H19</f>
        <v>-1.4443988800048544</v>
      </c>
      <c r="E19" s="12"/>
      <c r="F19" s="15">
        <f t="shared" si="0"/>
        <v>-226.77062416076214</v>
      </c>
      <c r="G19" s="11">
        <f>'IEEE 14-bus MW reduction data'!I19</f>
        <v>-0.76954841613770064</v>
      </c>
      <c r="H19" s="12"/>
      <c r="I19" s="15">
        <f t="shared" si="1"/>
        <v>-120.819101333619</v>
      </c>
      <c r="J19" s="11">
        <f>'IEEE 14-bus MW reduction data'!J19</f>
        <v>-0.48215579986569956</v>
      </c>
      <c r="K19" s="12"/>
      <c r="L19" s="15">
        <f t="shared" si="2"/>
        <v>-75.698460578914833</v>
      </c>
      <c r="M19" s="26">
        <f>'IEEE 14-bus MW reduction data'!Q19</f>
        <v>-1.8348598480224503</v>
      </c>
      <c r="N19" s="9"/>
      <c r="O19" s="15">
        <f t="shared" si="3"/>
        <v>-288.07299613952472</v>
      </c>
      <c r="P19" s="26">
        <f>'IEEE 14-bus MW reduction data'!R19</f>
        <v>-0.4335031509400018</v>
      </c>
      <c r="Q19" s="9"/>
      <c r="R19" s="15">
        <f t="shared" si="4"/>
        <v>-68.059994697580279</v>
      </c>
      <c r="S19" s="26">
        <f>'IEEE 14-bus MW reduction data'!S19</f>
        <v>-0.13632154464719992</v>
      </c>
      <c r="T19" s="9"/>
      <c r="U19" s="15">
        <f t="shared" si="5"/>
        <v>-21.402482509610387</v>
      </c>
      <c r="V19" s="27">
        <f>'IEEE 14-bus MW reduction data'!Z19</f>
        <v>-0.45528984069820311</v>
      </c>
      <c r="W19" s="14"/>
      <c r="X19" s="15">
        <f t="shared" si="6"/>
        <v>-71.480504989617884</v>
      </c>
      <c r="Y19" s="27">
        <f>'IEEE 14-bus MW reduction data'!AA19</f>
        <v>-0.51407909393310014</v>
      </c>
      <c r="Z19" s="14"/>
      <c r="AA19" s="15">
        <f t="shared" si="7"/>
        <v>-80.71041774749672</v>
      </c>
      <c r="AB19" s="27">
        <f>'IEEE 14-bus MW reduction data'!AB19</f>
        <v>-0.40062236785890004</v>
      </c>
      <c r="AC19" s="14"/>
      <c r="AD19" s="15">
        <f t="shared" si="8"/>
        <v>-62.897711753847304</v>
      </c>
      <c r="AE19" s="10">
        <f t="shared" si="9"/>
        <v>-1.2448495229085026</v>
      </c>
      <c r="AF19" s="12"/>
      <c r="AG19" s="15">
        <f t="shared" si="10"/>
        <v>-195.44137509663491</v>
      </c>
      <c r="AH19" s="10">
        <f t="shared" si="11"/>
        <v>-0.5723768870036009</v>
      </c>
      <c r="AI19" s="12"/>
      <c r="AJ19" s="15">
        <f t="shared" si="12"/>
        <v>-89.863171259565334</v>
      </c>
      <c r="AK19" s="10">
        <f t="shared" si="13"/>
        <v>-0.33969990412393319</v>
      </c>
      <c r="AL19" s="12"/>
      <c r="AM19" s="15">
        <f t="shared" si="14"/>
        <v>-53.332884947457508</v>
      </c>
    </row>
    <row r="20" spans="1:39" x14ac:dyDescent="0.45">
      <c r="A20" s="35">
        <v>17</v>
      </c>
      <c r="B20" s="30">
        <v>15.7</v>
      </c>
      <c r="C20" s="31">
        <v>0.98829999999999996</v>
      </c>
      <c r="D20" s="11">
        <f>'IEEE 14-bus MW reduction data'!H20</f>
        <v>-1.6108436584473012</v>
      </c>
      <c r="E20" s="12"/>
      <c r="F20" s="15">
        <f t="shared" si="0"/>
        <v>-252.90245437622627</v>
      </c>
      <c r="G20" s="11">
        <f>'IEEE 14-bus MW reduction data'!I20</f>
        <v>-0.84672451019290129</v>
      </c>
      <c r="H20" s="12"/>
      <c r="I20" s="15">
        <f t="shared" si="1"/>
        <v>-132.93574810028551</v>
      </c>
      <c r="J20" s="11">
        <f>'IEEE 14-bus MW reduction data'!J20</f>
        <v>-0.52641820907594905</v>
      </c>
      <c r="K20" s="12"/>
      <c r="L20" s="15">
        <f t="shared" si="2"/>
        <v>-82.647658824924008</v>
      </c>
      <c r="M20" s="26">
        <f>'IEEE 14-bus MW reduction data'!Q20</f>
        <v>-1.8353271484375</v>
      </c>
      <c r="N20" s="9"/>
      <c r="O20" s="15">
        <f t="shared" si="3"/>
        <v>-288.1463623046875</v>
      </c>
      <c r="P20" s="26">
        <f>'IEEE 14-bus MW reduction data'!R20</f>
        <v>-0.43215942382820316</v>
      </c>
      <c r="Q20" s="9"/>
      <c r="R20" s="15">
        <f t="shared" si="4"/>
        <v>-67.849029541027903</v>
      </c>
      <c r="S20" s="26">
        <f>'IEEE 14-bus MW reduction data'!S20</f>
        <v>-0.13581752777099965</v>
      </c>
      <c r="T20" s="9"/>
      <c r="U20" s="15">
        <f t="shared" si="5"/>
        <v>-21.323351860046944</v>
      </c>
      <c r="V20" s="27">
        <f>'IEEE 14-bus MW reduction data'!Z20</f>
        <v>-0.48920059204099786</v>
      </c>
      <c r="W20" s="14"/>
      <c r="X20" s="15">
        <f t="shared" si="6"/>
        <v>-76.804492950436668</v>
      </c>
      <c r="Y20" s="27">
        <f>'IEEE 14-bus MW reduction data'!AA20</f>
        <v>-0.55681133270265093</v>
      </c>
      <c r="Z20" s="14"/>
      <c r="AA20" s="15">
        <f t="shared" si="7"/>
        <v>-87.419379234316196</v>
      </c>
      <c r="AB20" s="27">
        <f>'IEEE 14-bus MW reduction data'!AB20</f>
        <v>-0.43387222290039862</v>
      </c>
      <c r="AC20" s="14"/>
      <c r="AD20" s="15">
        <f t="shared" si="8"/>
        <v>-68.117938995362579</v>
      </c>
      <c r="AE20" s="10">
        <f t="shared" si="9"/>
        <v>-1.3117904663085997</v>
      </c>
      <c r="AF20" s="12"/>
      <c r="AG20" s="15">
        <f t="shared" si="10"/>
        <v>-205.95110321045016</v>
      </c>
      <c r="AH20" s="10">
        <f t="shared" si="11"/>
        <v>-0.61189842224125179</v>
      </c>
      <c r="AI20" s="12"/>
      <c r="AJ20" s="15">
        <f t="shared" si="12"/>
        <v>-96.068052291876526</v>
      </c>
      <c r="AK20" s="10">
        <f t="shared" si="13"/>
        <v>-0.36536931991578242</v>
      </c>
      <c r="AL20" s="12"/>
      <c r="AM20" s="15">
        <f t="shared" si="14"/>
        <v>-57.362983226777843</v>
      </c>
    </row>
    <row r="21" spans="1:39" x14ac:dyDescent="0.45">
      <c r="A21" s="35">
        <v>18</v>
      </c>
      <c r="B21" s="30">
        <v>20.3</v>
      </c>
      <c r="C21" s="31">
        <v>1</v>
      </c>
      <c r="D21" s="11">
        <f>'IEEE 14-bus MW reduction data'!H21</f>
        <v>-1.6930847167968466</v>
      </c>
      <c r="E21" s="12"/>
      <c r="F21" s="15">
        <f t="shared" si="0"/>
        <v>-343.69619750975983</v>
      </c>
      <c r="G21" s="11">
        <f>'IEEE 14-bus MW reduction data'!I21</f>
        <v>-0.88602542877195134</v>
      </c>
      <c r="H21" s="12"/>
      <c r="I21" s="15">
        <f t="shared" si="1"/>
        <v>-179.86316204070613</v>
      </c>
      <c r="J21" s="11">
        <f>'IEEE 14-bus MW reduction data'!J21</f>
        <v>-0.54923200607300071</v>
      </c>
      <c r="K21" s="12"/>
      <c r="L21" s="15">
        <f t="shared" si="2"/>
        <v>-111.49409723281914</v>
      </c>
      <c r="M21" s="26">
        <f>'IEEE 14-bus MW reduction data'!Q21</f>
        <v>-1.8342971801757955</v>
      </c>
      <c r="N21" s="9"/>
      <c r="O21" s="15">
        <f t="shared" si="3"/>
        <v>-372.36232757568649</v>
      </c>
      <c r="P21" s="26">
        <f>'IEEE 14-bus MW reduction data'!R21</f>
        <v>-0.43130111694329898</v>
      </c>
      <c r="Q21" s="9"/>
      <c r="R21" s="15">
        <f t="shared" si="4"/>
        <v>-87.554126739489689</v>
      </c>
      <c r="S21" s="26">
        <f>'IEEE 14-bus MW reduction data'!S21</f>
        <v>-0.13551521301270064</v>
      </c>
      <c r="T21" s="9"/>
      <c r="U21" s="15">
        <f t="shared" si="5"/>
        <v>-27.509588241578228</v>
      </c>
      <c r="V21" s="27">
        <f>'IEEE 14-bus MW reduction data'!Z21</f>
        <v>-0.52700614929199574</v>
      </c>
      <c r="W21" s="14"/>
      <c r="X21" s="15">
        <f t="shared" si="6"/>
        <v>-106.98224830627514</v>
      </c>
      <c r="Y21" s="27">
        <f>'IEEE 14-bus MW reduction data'!AA21</f>
        <v>-0.58449172973635122</v>
      </c>
      <c r="Z21" s="14"/>
      <c r="AA21" s="15">
        <f t="shared" si="7"/>
        <v>-118.6518211364793</v>
      </c>
      <c r="AB21" s="27">
        <f>'IEEE 14-bus MW reduction data'!AB21</f>
        <v>-0.45297002792355023</v>
      </c>
      <c r="AC21" s="14"/>
      <c r="AD21" s="15">
        <f t="shared" si="8"/>
        <v>-91.952915668480699</v>
      </c>
      <c r="AE21" s="10">
        <f t="shared" si="9"/>
        <v>-1.3514626820882125</v>
      </c>
      <c r="AF21" s="12"/>
      <c r="AG21" s="15">
        <f t="shared" si="10"/>
        <v>-274.34692446390716</v>
      </c>
      <c r="AH21" s="10">
        <f t="shared" si="11"/>
        <v>-0.63393942515053381</v>
      </c>
      <c r="AI21" s="12"/>
      <c r="AJ21" s="15">
        <f t="shared" si="12"/>
        <v>-128.68970330555837</v>
      </c>
      <c r="AK21" s="10">
        <f t="shared" si="13"/>
        <v>-0.37923908233641718</v>
      </c>
      <c r="AL21" s="12"/>
      <c r="AM21" s="15">
        <f t="shared" si="14"/>
        <v>-76.985533714292686</v>
      </c>
    </row>
    <row r="22" spans="1:39" x14ac:dyDescent="0.45">
      <c r="A22" s="35">
        <v>19</v>
      </c>
      <c r="B22" s="30">
        <v>20.3</v>
      </c>
      <c r="C22" s="31">
        <v>0.99660000000000004</v>
      </c>
      <c r="D22" s="11">
        <f>'IEEE 14-bus MW reduction data'!H22</f>
        <v>-1.6921920776367472</v>
      </c>
      <c r="E22" s="12"/>
      <c r="F22" s="15">
        <f t="shared" si="0"/>
        <v>-343.5149917602597</v>
      </c>
      <c r="G22" s="11">
        <f>'IEEE 14-bus MW reduction data'!I22</f>
        <v>-0.8875579833984002</v>
      </c>
      <c r="H22" s="12"/>
      <c r="I22" s="15">
        <f t="shared" si="1"/>
        <v>-180.17427062987525</v>
      </c>
      <c r="J22" s="11">
        <f>'IEEE 14-bus MW reduction data'!J22</f>
        <v>-0.55056381225585049</v>
      </c>
      <c r="K22" s="12"/>
      <c r="L22" s="15">
        <f t="shared" si="2"/>
        <v>-111.76445388793765</v>
      </c>
      <c r="M22" s="26">
        <f>'IEEE 14-bus MW reduction data'!Q22</f>
        <v>-1.8346672058105966</v>
      </c>
      <c r="N22" s="9"/>
      <c r="O22" s="15">
        <f t="shared" si="3"/>
        <v>-372.43744277955113</v>
      </c>
      <c r="P22" s="26">
        <f>'IEEE 14-bus MW reduction data'!R22</f>
        <v>-0.43157196044920099</v>
      </c>
      <c r="Q22" s="9"/>
      <c r="R22" s="15">
        <f t="shared" si="4"/>
        <v>-87.609107971187797</v>
      </c>
      <c r="S22" s="26">
        <f>'IEEE 14-bus MW reduction data'!S22</f>
        <v>-0.13560867309570135</v>
      </c>
      <c r="T22" s="9"/>
      <c r="U22" s="15">
        <f t="shared" si="5"/>
        <v>-27.528560638427372</v>
      </c>
      <c r="V22" s="27">
        <f>'IEEE 14-bus MW reduction data'!Z22</f>
        <v>-0.52235031127934661</v>
      </c>
      <c r="W22" s="14"/>
      <c r="X22" s="15">
        <f t="shared" si="6"/>
        <v>-106.03711318970736</v>
      </c>
      <c r="Y22" s="27">
        <f>'IEEE 14-bus MW reduction data'!AA22</f>
        <v>-0.58498668670650034</v>
      </c>
      <c r="Z22" s="14"/>
      <c r="AA22" s="15">
        <f t="shared" si="7"/>
        <v>-118.75229740141957</v>
      </c>
      <c r="AB22" s="27">
        <f>'IEEE 14-bus MW reduction data'!AB22</f>
        <v>-0.45394849777220081</v>
      </c>
      <c r="AC22" s="14"/>
      <c r="AD22" s="15">
        <f t="shared" si="8"/>
        <v>-92.15154504775677</v>
      </c>
      <c r="AE22" s="10">
        <f t="shared" si="9"/>
        <v>-1.3497365315755634</v>
      </c>
      <c r="AF22" s="12"/>
      <c r="AG22" s="15">
        <f t="shared" si="10"/>
        <v>-273.99651590983939</v>
      </c>
      <c r="AH22" s="10">
        <f t="shared" si="11"/>
        <v>-0.63470554351803388</v>
      </c>
      <c r="AI22" s="12"/>
      <c r="AJ22" s="15">
        <f t="shared" si="12"/>
        <v>-128.84522533416089</v>
      </c>
      <c r="AK22" s="10">
        <f t="shared" si="13"/>
        <v>-0.38004032770791757</v>
      </c>
      <c r="AL22" s="12"/>
      <c r="AM22" s="15">
        <f t="shared" si="14"/>
        <v>-77.14818652470727</v>
      </c>
    </row>
    <row r="23" spans="1:39" x14ac:dyDescent="0.45">
      <c r="A23" s="35">
        <v>20</v>
      </c>
      <c r="B23" s="30">
        <v>9.8000000000000007</v>
      </c>
      <c r="C23" s="31">
        <v>0.98570000000000002</v>
      </c>
      <c r="D23" s="11">
        <f>'IEEE 14-bus MW reduction data'!H23</f>
        <v>-1.6556129455566051</v>
      </c>
      <c r="E23" s="12"/>
      <c r="F23" s="15">
        <f t="shared" si="0"/>
        <v>-162.25006866454731</v>
      </c>
      <c r="G23" s="11">
        <f>'IEEE 14-bus MW reduction data'!I23</f>
        <v>-0.87340164184570313</v>
      </c>
      <c r="H23" s="12"/>
      <c r="I23" s="15">
        <f t="shared" si="1"/>
        <v>-85.593360900878906</v>
      </c>
      <c r="J23" s="11">
        <f>'IEEE 14-bus MW reduction data'!J23</f>
        <v>-0.54310035705560011</v>
      </c>
      <c r="K23" s="12"/>
      <c r="L23" s="15">
        <f t="shared" si="2"/>
        <v>-53.223834991448811</v>
      </c>
      <c r="M23" s="26">
        <f>'IEEE 14-bus MW reduction data'!Q23</f>
        <v>-1.8354644775389986</v>
      </c>
      <c r="N23" s="9"/>
      <c r="O23" s="15">
        <f t="shared" si="3"/>
        <v>-179.87551879882187</v>
      </c>
      <c r="P23" s="26">
        <f>'IEEE 14-bus MW reduction data'!R23</f>
        <v>-0.432325363159201</v>
      </c>
      <c r="Q23" s="9"/>
      <c r="R23" s="15">
        <f t="shared" si="4"/>
        <v>-42.367885589601698</v>
      </c>
      <c r="S23" s="26">
        <f>'IEEE 14-bus MW reduction data'!S23</f>
        <v>-0.13587760925289949</v>
      </c>
      <c r="T23" s="9"/>
      <c r="U23" s="15">
        <f t="shared" si="5"/>
        <v>-13.31600570678415</v>
      </c>
      <c r="V23" s="27">
        <f>'IEEE 14-bus MW reduction data'!Z23</f>
        <v>-0.49831390380860086</v>
      </c>
      <c r="W23" s="14"/>
      <c r="X23" s="15">
        <f t="shared" si="6"/>
        <v>-48.834762573242884</v>
      </c>
      <c r="Y23" s="27">
        <f>'IEEE 14-bus MW reduction data'!AA23</f>
        <v>-0.57402038574220171</v>
      </c>
      <c r="Z23" s="14"/>
      <c r="AA23" s="15">
        <f t="shared" si="7"/>
        <v>-56.253997802735768</v>
      </c>
      <c r="AB23" s="27">
        <f>'IEEE 14-bus MW reduction data'!AB23</f>
        <v>-0.44746685028069955</v>
      </c>
      <c r="AC23" s="14"/>
      <c r="AD23" s="15">
        <f t="shared" si="8"/>
        <v>-43.851751327508552</v>
      </c>
      <c r="AE23" s="10">
        <f t="shared" si="9"/>
        <v>-1.3297971089680682</v>
      </c>
      <c r="AF23" s="12"/>
      <c r="AG23" s="15">
        <f t="shared" si="10"/>
        <v>-130.32011667887068</v>
      </c>
      <c r="AH23" s="10">
        <f t="shared" si="11"/>
        <v>-0.62658246358236858</v>
      </c>
      <c r="AI23" s="12"/>
      <c r="AJ23" s="15">
        <f t="shared" si="12"/>
        <v>-61.405081431072119</v>
      </c>
      <c r="AK23" s="10">
        <f t="shared" si="13"/>
        <v>-0.37548160552973303</v>
      </c>
      <c r="AL23" s="12"/>
      <c r="AM23" s="15">
        <f t="shared" si="14"/>
        <v>-36.797197341913837</v>
      </c>
    </row>
    <row r="24" spans="1:39" x14ac:dyDescent="0.45">
      <c r="A24" s="35">
        <v>21</v>
      </c>
      <c r="B24" s="30">
        <v>9.8000000000000007</v>
      </c>
      <c r="C24" s="31">
        <v>0.96199999999999997</v>
      </c>
      <c r="D24" s="11">
        <f>'IEEE 14-bus MW reduction data'!H24</f>
        <v>-1.5759353637695028</v>
      </c>
      <c r="E24" s="12"/>
      <c r="F24" s="15">
        <f t="shared" si="0"/>
        <v>-154.44166564941128</v>
      </c>
      <c r="G24" s="11">
        <f>'IEEE 14-bus MW reduction data'!I24</f>
        <v>-0.84202575683600145</v>
      </c>
      <c r="H24" s="12"/>
      <c r="I24" s="15">
        <f t="shared" si="1"/>
        <v>-82.518524169928142</v>
      </c>
      <c r="J24" s="11">
        <f>'IEEE 14-bus MW reduction data'!J24</f>
        <v>-0.5263910293578995</v>
      </c>
      <c r="K24" s="12"/>
      <c r="L24" s="15">
        <f t="shared" si="2"/>
        <v>-51.586320877074151</v>
      </c>
      <c r="M24" s="26">
        <f>'IEEE 14-bus MW reduction data'!Q24</f>
        <v>-1.8350791931151988</v>
      </c>
      <c r="N24" s="9"/>
      <c r="O24" s="15">
        <f t="shared" si="3"/>
        <v>-179.8377609252895</v>
      </c>
      <c r="P24" s="26">
        <f>'IEEE 14-bus MW reduction data'!R24</f>
        <v>-0.43342208862310017</v>
      </c>
      <c r="Q24" s="9"/>
      <c r="R24" s="15">
        <f t="shared" si="4"/>
        <v>-42.475364685063816</v>
      </c>
      <c r="S24" s="26">
        <f>'IEEE 14-bus MW reduction data'!S24</f>
        <v>-0.13628768920900036</v>
      </c>
      <c r="T24" s="9"/>
      <c r="U24" s="15">
        <f t="shared" si="5"/>
        <v>-13.356193542482035</v>
      </c>
      <c r="V24" s="27">
        <f>'IEEE 14-bus MW reduction data'!Z24</f>
        <v>-0.48332595825190339</v>
      </c>
      <c r="W24" s="14"/>
      <c r="X24" s="15">
        <f t="shared" si="6"/>
        <v>-47.365943908686532</v>
      </c>
      <c r="Y24" s="27">
        <f>'IEEE 14-bus MW reduction data'!AA24</f>
        <v>-0.55932426452639916</v>
      </c>
      <c r="Z24" s="14"/>
      <c r="AA24" s="15">
        <f t="shared" si="7"/>
        <v>-54.813777923587118</v>
      </c>
      <c r="AB24" s="27">
        <f>'IEEE 14-bus MW reduction data'!AB24</f>
        <v>-0.43604564666750001</v>
      </c>
      <c r="AC24" s="14"/>
      <c r="AD24" s="15">
        <f t="shared" si="8"/>
        <v>-42.732473373415004</v>
      </c>
      <c r="AE24" s="10">
        <f t="shared" si="9"/>
        <v>-1.298113505045535</v>
      </c>
      <c r="AF24" s="12"/>
      <c r="AG24" s="15">
        <f t="shared" si="10"/>
        <v>-127.21512349446243</v>
      </c>
      <c r="AH24" s="10">
        <f t="shared" si="11"/>
        <v>-0.6115907033285003</v>
      </c>
      <c r="AI24" s="12"/>
      <c r="AJ24" s="15">
        <f t="shared" si="12"/>
        <v>-59.93588892619303</v>
      </c>
      <c r="AK24" s="10">
        <f t="shared" si="13"/>
        <v>-0.36624145507813327</v>
      </c>
      <c r="AL24" s="12"/>
      <c r="AM24" s="15">
        <f t="shared" si="14"/>
        <v>-35.89166259765706</v>
      </c>
    </row>
    <row r="25" spans="1:39" x14ac:dyDescent="0.45">
      <c r="A25" s="35">
        <v>22</v>
      </c>
      <c r="B25" s="30">
        <v>9.8000000000000007</v>
      </c>
      <c r="C25" s="31">
        <v>0.91390000000000005</v>
      </c>
      <c r="D25" s="11">
        <f>'IEEE 14-bus MW reduction data'!H25</f>
        <v>-1.4215011596679972</v>
      </c>
      <c r="E25" s="12"/>
      <c r="F25" s="15">
        <f t="shared" si="0"/>
        <v>-139.30711364746372</v>
      </c>
      <c r="G25" s="11">
        <f>'IEEE 14-bus MW reduction data'!I25</f>
        <v>-0.78023910522459872</v>
      </c>
      <c r="H25" s="12"/>
      <c r="I25" s="15">
        <f t="shared" si="1"/>
        <v>-76.463432312010667</v>
      </c>
      <c r="J25" s="11">
        <f>'IEEE 14-bus MW reduction data'!J25</f>
        <v>-0.49312973022460049</v>
      </c>
      <c r="K25" s="12"/>
      <c r="L25" s="15">
        <f t="shared" si="2"/>
        <v>-48.326713562010852</v>
      </c>
      <c r="M25" s="26">
        <f>'IEEE 14-bus MW reduction data'!Q25</f>
        <v>-1.8260002136230966</v>
      </c>
      <c r="N25" s="9"/>
      <c r="O25" s="15">
        <f t="shared" si="3"/>
        <v>-178.94802093506348</v>
      </c>
      <c r="P25" s="26">
        <f>'IEEE 14-bus MW reduction data'!R25</f>
        <v>-0.433546066284201</v>
      </c>
      <c r="Q25" s="9"/>
      <c r="R25" s="15">
        <f t="shared" si="4"/>
        <v>-42.487514495851698</v>
      </c>
      <c r="S25" s="26">
        <f>'IEEE 14-bus MW reduction data'!S25</f>
        <v>-0.13645267486569956</v>
      </c>
      <c r="T25" s="9"/>
      <c r="U25" s="15">
        <f t="shared" si="5"/>
        <v>-13.372362136838557</v>
      </c>
      <c r="V25" s="27">
        <f>'IEEE 14-bus MW reduction data'!Z25</f>
        <v>-0.46015930175779829</v>
      </c>
      <c r="W25" s="14"/>
      <c r="X25" s="15">
        <f t="shared" si="6"/>
        <v>-45.095611572264232</v>
      </c>
      <c r="Y25" s="27">
        <f>'IEEE 14-bus MW reduction data'!AA25</f>
        <v>-0.53142929077149859</v>
      </c>
      <c r="Z25" s="14"/>
      <c r="AA25" s="15">
        <f t="shared" si="7"/>
        <v>-52.080070495606861</v>
      </c>
      <c r="AB25" s="27">
        <f>'IEEE 14-bus MW reduction data'!AB25</f>
        <v>-0.41356849670409979</v>
      </c>
      <c r="AC25" s="14"/>
      <c r="AD25" s="15">
        <f t="shared" si="8"/>
        <v>-40.529712677001783</v>
      </c>
      <c r="AE25" s="10">
        <f t="shared" si="9"/>
        <v>-1.235886891682964</v>
      </c>
      <c r="AF25" s="12"/>
      <c r="AG25" s="15">
        <f t="shared" si="10"/>
        <v>-121.11691538493046</v>
      </c>
      <c r="AH25" s="10">
        <f t="shared" si="11"/>
        <v>-0.58173815409343277</v>
      </c>
      <c r="AI25" s="12"/>
      <c r="AJ25" s="15">
        <f t="shared" si="12"/>
        <v>-57.010339101156411</v>
      </c>
      <c r="AK25" s="10">
        <f t="shared" si="13"/>
        <v>-0.34771696726479995</v>
      </c>
      <c r="AL25" s="12"/>
      <c r="AM25" s="15">
        <f t="shared" si="14"/>
        <v>-34.076262791950398</v>
      </c>
    </row>
    <row r="26" spans="1:39" x14ac:dyDescent="0.45">
      <c r="A26" s="35">
        <v>23</v>
      </c>
      <c r="B26" s="30">
        <v>9.8000000000000007</v>
      </c>
      <c r="C26" s="31">
        <v>0.85470000000000002</v>
      </c>
      <c r="D26" s="11">
        <f>'IEEE 14-bus MW reduction data'!H26</f>
        <v>-1.2431526184082031</v>
      </c>
      <c r="E26" s="12"/>
      <c r="F26" s="15">
        <f t="shared" si="0"/>
        <v>-121.82895660400391</v>
      </c>
      <c r="G26" s="11">
        <f>'IEEE 14-bus MW reduction data'!I26</f>
        <v>-0.70721435546870026</v>
      </c>
      <c r="H26" s="12"/>
      <c r="I26" s="15">
        <f t="shared" si="1"/>
        <v>-69.307006835932626</v>
      </c>
      <c r="J26" s="11">
        <f>'IEEE 14-bus MW reduction data'!J26</f>
        <v>-0.45324611663819958</v>
      </c>
      <c r="K26" s="12"/>
      <c r="L26" s="15">
        <f t="shared" si="2"/>
        <v>-44.418119430543555</v>
      </c>
      <c r="M26" s="26">
        <f>'IEEE 14-bus MW reduction data'!Q26</f>
        <v>-1.7988166809082031</v>
      </c>
      <c r="N26" s="9"/>
      <c r="O26" s="15">
        <f t="shared" si="3"/>
        <v>-176.28403472900391</v>
      </c>
      <c r="P26" s="26">
        <f>'IEEE 14-bus MW reduction data'!R26</f>
        <v>-0.42957115173339844</v>
      </c>
      <c r="Q26" s="9"/>
      <c r="R26" s="15">
        <f t="shared" si="4"/>
        <v>-42.097972869873047</v>
      </c>
      <c r="S26" s="26">
        <f>'IEEE 14-bus MW reduction data'!S26</f>
        <v>-0.13535022735590019</v>
      </c>
      <c r="T26" s="9"/>
      <c r="U26" s="15">
        <f t="shared" si="5"/>
        <v>-13.264322280878218</v>
      </c>
      <c r="V26" s="27">
        <f>'IEEE 14-bus MW reduction data'!Z26</f>
        <v>-0.43095016479490056</v>
      </c>
      <c r="W26" s="14"/>
      <c r="X26" s="15">
        <f t="shared" si="6"/>
        <v>-42.233116149900255</v>
      </c>
      <c r="Y26" s="27">
        <f>'IEEE 14-bus MW reduction data'!AA26</f>
        <v>-0.49702835083009944</v>
      </c>
      <c r="Z26" s="14"/>
      <c r="AA26" s="15">
        <f t="shared" si="7"/>
        <v>-48.708778381349745</v>
      </c>
      <c r="AB26" s="27">
        <f>'IEEE 14-bus MW reduction data'!AB26</f>
        <v>-0.38604259490960047</v>
      </c>
      <c r="AC26" s="14"/>
      <c r="AD26" s="15">
        <f t="shared" si="8"/>
        <v>-37.832174301140846</v>
      </c>
      <c r="AE26" s="10">
        <f t="shared" si="9"/>
        <v>-1.1576398213704355</v>
      </c>
      <c r="AF26" s="12"/>
      <c r="AG26" s="15">
        <f t="shared" si="10"/>
        <v>-113.44870249430268</v>
      </c>
      <c r="AH26" s="10">
        <f t="shared" si="11"/>
        <v>-0.54460461934406601</v>
      </c>
      <c r="AI26" s="12"/>
      <c r="AJ26" s="15">
        <f t="shared" si="12"/>
        <v>-53.371252695718468</v>
      </c>
      <c r="AK26" s="10">
        <f t="shared" si="13"/>
        <v>-0.32487964630123339</v>
      </c>
      <c r="AL26" s="12"/>
      <c r="AM26" s="15">
        <f t="shared" si="14"/>
        <v>-31.838205337520872</v>
      </c>
    </row>
    <row r="27" spans="1:39" ht="14.65" thickBot="1" x14ac:dyDescent="0.5">
      <c r="A27" s="35">
        <v>24</v>
      </c>
      <c r="B27" s="30">
        <v>9.8000000000000007</v>
      </c>
      <c r="C27" s="31">
        <v>0.80469999999999997</v>
      </c>
      <c r="D27" s="11">
        <f>'IEEE 14-bus MW reduction data'!H27</f>
        <v>-1.1399803161621023</v>
      </c>
      <c r="E27" s="12"/>
      <c r="F27" s="15">
        <f t="shared" si="0"/>
        <v>-111.71807098388602</v>
      </c>
      <c r="G27" s="11">
        <f>'IEEE 14-bus MW reduction data'!I27</f>
        <v>-0.65792274475100143</v>
      </c>
      <c r="H27" s="12"/>
      <c r="I27" s="15">
        <f t="shared" si="1"/>
        <v>-64.476428985598147</v>
      </c>
      <c r="J27" s="11">
        <f>'IEEE 14-bus MW reduction data'!J27</f>
        <v>-0.42360687255860086</v>
      </c>
      <c r="K27" s="12"/>
      <c r="L27" s="15">
        <f t="shared" si="2"/>
        <v>-41.513473510742884</v>
      </c>
      <c r="M27" s="26">
        <f>'IEEE 14-bus MW reduction data'!Q27</f>
        <v>-1.7634506225586009</v>
      </c>
      <c r="N27" s="9"/>
      <c r="O27" s="15">
        <f t="shared" si="3"/>
        <v>-172.81816101074287</v>
      </c>
      <c r="P27" s="26"/>
      <c r="Q27" s="9"/>
      <c r="R27" s="15">
        <f t="shared" si="4"/>
        <v>0</v>
      </c>
      <c r="S27" s="26">
        <f>'IEEE 14-bus MW reduction data'!S27</f>
        <v>-0.13340950012200103</v>
      </c>
      <c r="T27" s="9"/>
      <c r="U27" s="15">
        <f t="shared" si="5"/>
        <v>-13.074131011956101</v>
      </c>
      <c r="V27" s="27">
        <f>'IEEE 14-bus MW reduction data'!Z27</f>
        <v>-0.40618896484370026</v>
      </c>
      <c r="W27" s="14"/>
      <c r="X27" s="15">
        <f t="shared" si="6"/>
        <v>-39.806518554682626</v>
      </c>
      <c r="Y27" s="27">
        <f>'IEEE 14-bus MW reduction data'!AA27</f>
        <v>-0.46785163879400216</v>
      </c>
      <c r="Z27" s="14"/>
      <c r="AA27" s="15">
        <f t="shared" si="7"/>
        <v>-45.849460601812211</v>
      </c>
      <c r="AB27" s="27">
        <f>'IEEE 14-bus MW reduction data'!AB27</f>
        <v>-0.36276912689200103</v>
      </c>
      <c r="AC27" s="14"/>
      <c r="AD27" s="15">
        <f t="shared" si="8"/>
        <v>-35.551374435416101</v>
      </c>
      <c r="AE27" s="10">
        <f t="shared" si="9"/>
        <v>-1.1032066345214677</v>
      </c>
      <c r="AF27" s="12"/>
      <c r="AG27" s="15">
        <f t="shared" si="10"/>
        <v>-108.11425018310383</v>
      </c>
      <c r="AH27" s="10">
        <f t="shared" si="11"/>
        <v>-0.56288719177250179</v>
      </c>
      <c r="AI27" s="12"/>
      <c r="AJ27" s="15">
        <f t="shared" si="12"/>
        <v>-55.162944793705179</v>
      </c>
      <c r="AK27" s="10">
        <f t="shared" si="13"/>
        <v>-0.30659516652420099</v>
      </c>
      <c r="AL27" s="12"/>
      <c r="AM27" s="15">
        <f t="shared" si="14"/>
        <v>-30.046326319371698</v>
      </c>
    </row>
    <row r="28" spans="1:39" x14ac:dyDescent="0.45">
      <c r="A28" s="34" t="s">
        <v>17</v>
      </c>
      <c r="B28" s="38"/>
      <c r="C28" s="39"/>
      <c r="D28" s="40"/>
      <c r="E28" s="41"/>
      <c r="F28" s="42">
        <f>SUM(F4:F27)</f>
        <v>-4441.7128601074328</v>
      </c>
      <c r="G28" s="40"/>
      <c r="H28" s="41"/>
      <c r="I28" s="42">
        <f>SUM(I4:I27)</f>
        <v>-2420.7566175460825</v>
      </c>
      <c r="J28" s="40"/>
      <c r="K28" s="41"/>
      <c r="L28" s="42">
        <f>SUM(L4:L27)</f>
        <v>-1529.171660900111</v>
      </c>
      <c r="M28" s="43"/>
      <c r="N28" s="41"/>
      <c r="O28" s="42">
        <f>SUM(O4:O27)</f>
        <v>-5998.4516563415764</v>
      </c>
      <c r="P28" s="43"/>
      <c r="Q28" s="41"/>
      <c r="R28" s="42">
        <f>SUM(R4:R27)</f>
        <v>-1382.2571086883743</v>
      </c>
      <c r="S28" s="43"/>
      <c r="T28" s="41"/>
      <c r="U28" s="42">
        <f>SUM(U4:U27)</f>
        <v>-448.04754924770157</v>
      </c>
      <c r="V28" s="43"/>
      <c r="W28" s="44"/>
      <c r="X28" s="42">
        <f>SUM(X4:X27)</f>
        <v>-1464.0127086639463</v>
      </c>
      <c r="Y28" s="43"/>
      <c r="Z28" s="44"/>
      <c r="AA28" s="42">
        <f>SUM(AA4:AA27)</f>
        <v>-1650.8719949722449</v>
      </c>
      <c r="AB28" s="43"/>
      <c r="AC28" s="44"/>
      <c r="AD28" s="42">
        <f>SUM(AD4:AD27)</f>
        <v>-1283.2153811454423</v>
      </c>
      <c r="AE28" s="47"/>
      <c r="AF28" s="46"/>
      <c r="AG28" s="42">
        <f>SUM(AG4:AG27)</f>
        <v>-3968.0590750376532</v>
      </c>
      <c r="AH28" s="47"/>
      <c r="AI28" s="46"/>
      <c r="AJ28" s="42">
        <f>SUM(AJ4:AJ27)</f>
        <v>-1836.3495553334692</v>
      </c>
      <c r="AK28" s="47"/>
      <c r="AL28" s="46"/>
      <c r="AM28" s="42">
        <f>SUM(AM4:AM27)</f>
        <v>-1086.811530431085</v>
      </c>
    </row>
    <row r="29" spans="1:39" ht="14.65" thickBot="1" x14ac:dyDescent="0.5">
      <c r="A29" s="36" t="s">
        <v>18</v>
      </c>
      <c r="B29" s="32"/>
      <c r="C29" s="33"/>
      <c r="D29" s="113">
        <f>SUM(D4:D27)*1000*365*0.142</f>
        <v>-1622710.5739593541</v>
      </c>
      <c r="E29" s="20"/>
      <c r="F29" s="25">
        <f>F28*365</f>
        <v>-1621225.1939392129</v>
      </c>
      <c r="G29" s="113">
        <f>SUM(G4:G27)*1000*365*0.142</f>
        <v>-890550.33435821917</v>
      </c>
      <c r="H29" s="20"/>
      <c r="I29" s="25">
        <f>I28*365</f>
        <v>-883576.16540432011</v>
      </c>
      <c r="J29" s="113">
        <f>SUM(J4:J27)*1000*365*0.142</f>
        <v>-563774.30334568059</v>
      </c>
      <c r="K29" s="20"/>
      <c r="L29" s="25">
        <f>L28*365</f>
        <v>-558147.65622854047</v>
      </c>
      <c r="M29" s="113">
        <f>SUM(M4:M27)*1000*365*0.142</f>
        <v>-2226370.2009964059</v>
      </c>
      <c r="N29" s="20"/>
      <c r="O29" s="25">
        <f>O28*365</f>
        <v>-2189434.8545646756</v>
      </c>
      <c r="P29" s="113">
        <f>SUM(P4:P27)*1000*365*0.142</f>
        <v>-507373.83171082468</v>
      </c>
      <c r="Q29" s="20"/>
      <c r="R29" s="25">
        <f>R28*365</f>
        <v>-504523.84467125661</v>
      </c>
      <c r="S29" s="113">
        <f>SUM(S4:S27)*1000*365*0.142</f>
        <v>-166618.28322409012</v>
      </c>
      <c r="T29" s="20"/>
      <c r="U29" s="25">
        <f>U28*365</f>
        <v>-163537.35547541108</v>
      </c>
      <c r="V29" s="113">
        <f>SUM(V4:V27)*1000*365*0.142</f>
        <v>-538516.04095458891</v>
      </c>
      <c r="W29" s="21"/>
      <c r="X29" s="25">
        <f>X28*365</f>
        <v>-534364.63866234047</v>
      </c>
      <c r="Y29" s="113">
        <f>SUM(Y4:Y27)*1000*365*0.142</f>
        <v>-610131.80298806156</v>
      </c>
      <c r="Z29" s="21"/>
      <c r="AA29" s="25">
        <f>AA28*365</f>
        <v>-602568.27816486941</v>
      </c>
      <c r="AB29" s="113">
        <f>SUM(AB4:AB27)*1000*365*0.142</f>
        <v>-474156.81800364284</v>
      </c>
      <c r="AC29" s="21"/>
      <c r="AD29" s="25">
        <f>AD28*365</f>
        <v>-468373.61411808641</v>
      </c>
      <c r="AE29" s="113">
        <f>SUM(AE4:AE27)*1000*365*0.142</f>
        <v>-1462532.2719701161</v>
      </c>
      <c r="AF29" s="23"/>
      <c r="AG29" s="25">
        <f>AG28*365</f>
        <v>-1448341.5623887435</v>
      </c>
      <c r="AH29" s="113">
        <f>SUM(AH4:AH27)*1000*365*0.142</f>
        <v>-679076.80406889133</v>
      </c>
      <c r="AI29" s="23"/>
      <c r="AJ29" s="25">
        <f>AJ28*365</f>
        <v>-670267.58769671631</v>
      </c>
      <c r="AK29" s="113">
        <f>SUM(AK4:AK27)*1000*365*0.142</f>
        <v>-401516.46819113789</v>
      </c>
      <c r="AL29" s="23"/>
      <c r="AM29" s="25">
        <f>AM28*365</f>
        <v>-396686.20860734599</v>
      </c>
    </row>
    <row r="30" spans="1:39" x14ac:dyDescent="0.45">
      <c r="C30" s="9"/>
      <c r="D30" s="12"/>
      <c r="E30" s="12"/>
      <c r="F30" s="8"/>
      <c r="G30" s="12"/>
      <c r="H30" s="12"/>
      <c r="I30" s="8"/>
      <c r="J30" s="12"/>
      <c r="K30" s="12"/>
      <c r="L30" s="8"/>
      <c r="M30" s="17"/>
      <c r="N30" s="12"/>
      <c r="O30" s="8"/>
      <c r="P30" s="17"/>
      <c r="Q30" s="12"/>
      <c r="R30" s="8"/>
      <c r="S30" s="17"/>
      <c r="T30" s="12"/>
      <c r="U30" s="8"/>
      <c r="V30" s="17"/>
      <c r="W30" s="17"/>
      <c r="X30" s="8"/>
      <c r="Y30" s="17"/>
      <c r="Z30" s="17"/>
      <c r="AA30" s="8"/>
      <c r="AB30" s="17"/>
      <c r="AC30" s="17"/>
      <c r="AD30" s="8"/>
      <c r="AG30" s="8"/>
      <c r="AJ30" s="8"/>
      <c r="AM30" s="8"/>
    </row>
    <row r="31" spans="1:39" x14ac:dyDescent="0.45">
      <c r="A31" s="5" t="s">
        <v>9</v>
      </c>
    </row>
    <row r="32" spans="1:39" x14ac:dyDescent="0.45">
      <c r="A32" s="5" t="s">
        <v>10</v>
      </c>
      <c r="F32" s="77"/>
      <c r="G32" s="12"/>
      <c r="H32" s="12"/>
      <c r="I32" s="77"/>
      <c r="J32" s="12"/>
      <c r="K32" s="12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</row>
    <row r="33" spans="1:39" ht="27.4" customHeight="1" thickBot="1" x14ac:dyDescent="0.5">
      <c r="F33" s="78"/>
      <c r="G33" s="84" t="s">
        <v>52</v>
      </c>
      <c r="H33" s="12"/>
      <c r="I33" s="78"/>
      <c r="J33" s="12"/>
      <c r="K33" s="12"/>
      <c r="L33" s="78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</row>
    <row r="34" spans="1:39" s="4" customFormat="1" ht="23.45" customHeight="1" thickBot="1" x14ac:dyDescent="0.5">
      <c r="A34" s="67" t="s">
        <v>24</v>
      </c>
      <c r="B34" s="1"/>
      <c r="C34" s="1"/>
      <c r="D34" s="3"/>
      <c r="E34" s="3"/>
      <c r="F34" s="78"/>
      <c r="G34" s="60"/>
      <c r="H34" s="87" t="s">
        <v>49</v>
      </c>
      <c r="I34" s="88" t="s">
        <v>50</v>
      </c>
      <c r="J34" s="89" t="s">
        <v>51</v>
      </c>
      <c r="K34" s="123" t="s">
        <v>54</v>
      </c>
      <c r="L34" s="78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6"/>
      <c r="AF34" s="1"/>
      <c r="AG34"/>
      <c r="AH34" s="6"/>
      <c r="AI34" s="1"/>
      <c r="AJ34"/>
      <c r="AK34" s="6"/>
      <c r="AL34" s="1"/>
      <c r="AM34"/>
    </row>
    <row r="35" spans="1:39" ht="24.4" customHeight="1" x14ac:dyDescent="0.45">
      <c r="G35" s="85" t="s">
        <v>36</v>
      </c>
      <c r="H35" s="16">
        <f>F29</f>
        <v>-1621225.1939392129</v>
      </c>
      <c r="I35" s="16">
        <f>O29</f>
        <v>-2189434.8545646756</v>
      </c>
      <c r="J35" s="18">
        <f>X29</f>
        <v>-534364.63866234047</v>
      </c>
      <c r="K35" s="121">
        <f>AVERAGE(H35:J35)</f>
        <v>-1448341.562388743</v>
      </c>
    </row>
    <row r="36" spans="1:39" ht="24.4" customHeight="1" x14ac:dyDescent="0.45">
      <c r="G36" s="85" t="s">
        <v>37</v>
      </c>
      <c r="H36" s="16">
        <f>I29</f>
        <v>-883576.16540432011</v>
      </c>
      <c r="I36" s="16">
        <f>R29</f>
        <v>-504523.84467125661</v>
      </c>
      <c r="J36" s="18">
        <f>AA29</f>
        <v>-602568.27816486941</v>
      </c>
      <c r="K36" s="121">
        <f t="shared" ref="K36:K37" si="15">AVERAGE(H36:J36)</f>
        <v>-663556.09608014871</v>
      </c>
    </row>
    <row r="37" spans="1:39" ht="24.4" customHeight="1" thickBot="1" x14ac:dyDescent="0.5">
      <c r="G37" s="86" t="s">
        <v>38</v>
      </c>
      <c r="H37" s="52">
        <f>L29</f>
        <v>-558147.65622854047</v>
      </c>
      <c r="I37" s="52">
        <f>U29</f>
        <v>-163537.35547541108</v>
      </c>
      <c r="J37" s="53">
        <f>AD29</f>
        <v>-468373.61411808641</v>
      </c>
      <c r="K37" s="121">
        <f t="shared" si="15"/>
        <v>-396686.20860734599</v>
      </c>
    </row>
    <row r="38" spans="1:39" x14ac:dyDescent="0.45">
      <c r="G38" s="116" t="s">
        <v>53</v>
      </c>
      <c r="H38" s="115">
        <f>SUM(H35:H37)</f>
        <v>-3062949.0155720734</v>
      </c>
      <c r="I38" s="115">
        <f t="shared" ref="I38:J38" si="16">SUM(I35:I37)</f>
        <v>-2857496.0547113433</v>
      </c>
      <c r="J38" s="42">
        <f t="shared" si="16"/>
        <v>-1605306.5309452962</v>
      </c>
      <c r="K38" s="122"/>
    </row>
    <row r="39" spans="1:39" ht="14.65" thickBot="1" x14ac:dyDescent="0.5">
      <c r="G39" s="117" t="s">
        <v>54</v>
      </c>
      <c r="H39" s="52">
        <f>AVERAGE(H38:J38)</f>
        <v>-2508583.8670762377</v>
      </c>
      <c r="I39" s="20"/>
      <c r="J39" s="37"/>
      <c r="K39" s="117"/>
    </row>
    <row r="40" spans="1:39" ht="14.65" thickBot="1" x14ac:dyDescent="0.5"/>
    <row r="41" spans="1:39" ht="14.65" thickBot="1" x14ac:dyDescent="0.5">
      <c r="G41" s="60"/>
      <c r="H41" s="87" t="s">
        <v>49</v>
      </c>
      <c r="I41" s="88" t="s">
        <v>50</v>
      </c>
      <c r="J41" s="89" t="s">
        <v>51</v>
      </c>
      <c r="K41" s="123" t="s">
        <v>54</v>
      </c>
    </row>
    <row r="42" spans="1:39" x14ac:dyDescent="0.45">
      <c r="G42" s="85" t="s">
        <v>36</v>
      </c>
      <c r="H42" s="118">
        <f>H35/365</f>
        <v>-4441.7128601074328</v>
      </c>
      <c r="I42" s="115">
        <f t="shared" ref="I42:J42" si="17">I35/365</f>
        <v>-5998.4516563415773</v>
      </c>
      <c r="J42" s="42">
        <f t="shared" si="17"/>
        <v>-1464.0127086639466</v>
      </c>
      <c r="K42" s="121">
        <f>AVERAGE(H42:J42)</f>
        <v>-3968.0590750376523</v>
      </c>
    </row>
    <row r="43" spans="1:39" x14ac:dyDescent="0.45">
      <c r="G43" s="85" t="s">
        <v>37</v>
      </c>
      <c r="H43" s="119">
        <f t="shared" ref="H43:J43" si="18">H36/365</f>
        <v>-2420.7566175460825</v>
      </c>
      <c r="I43" s="16">
        <f t="shared" si="18"/>
        <v>-1382.2571086883743</v>
      </c>
      <c r="J43" s="18">
        <f t="shared" si="18"/>
        <v>-1650.8719949722449</v>
      </c>
      <c r="K43" s="121">
        <f t="shared" ref="K43:K44" si="19">AVERAGE(H43:J43)</f>
        <v>-1817.9619070689005</v>
      </c>
    </row>
    <row r="44" spans="1:39" ht="14.65" thickBot="1" x14ac:dyDescent="0.5">
      <c r="G44" s="86" t="s">
        <v>38</v>
      </c>
      <c r="H44" s="120">
        <f t="shared" ref="H44:J44" si="20">H37/365</f>
        <v>-1529.171660900111</v>
      </c>
      <c r="I44" s="52">
        <f t="shared" si="20"/>
        <v>-448.04754924770157</v>
      </c>
      <c r="J44" s="53">
        <f t="shared" si="20"/>
        <v>-1283.2153811454423</v>
      </c>
      <c r="K44" s="121">
        <f t="shared" si="19"/>
        <v>-1086.811530431085</v>
      </c>
    </row>
    <row r="45" spans="1:39" x14ac:dyDescent="0.45">
      <c r="G45" s="116" t="s">
        <v>53</v>
      </c>
      <c r="H45" s="115">
        <f>SUM(H42:H44)</f>
        <v>-8391.6411385536267</v>
      </c>
      <c r="I45" s="115">
        <f t="shared" ref="I45:J45" si="21">SUM(I42:I44)</f>
        <v>-7828.7563142776535</v>
      </c>
      <c r="J45" s="42">
        <f t="shared" si="21"/>
        <v>-4398.100084781634</v>
      </c>
      <c r="K45" s="122"/>
    </row>
    <row r="46" spans="1:39" ht="14.65" thickBot="1" x14ac:dyDescent="0.5">
      <c r="G46" s="117" t="s">
        <v>54</v>
      </c>
      <c r="H46" s="52">
        <f>AVERAGE(H45:J45)</f>
        <v>-6872.8325125376386</v>
      </c>
      <c r="I46" s="20"/>
      <c r="J46" s="37"/>
      <c r="K46" s="117"/>
    </row>
  </sheetData>
  <mergeCells count="25">
    <mergeCell ref="A1:A3"/>
    <mergeCell ref="J1:L1"/>
    <mergeCell ref="S1:U1"/>
    <mergeCell ref="AB1:AD1"/>
    <mergeCell ref="G1:I1"/>
    <mergeCell ref="G2:I2"/>
    <mergeCell ref="D1:F1"/>
    <mergeCell ref="D2:F2"/>
    <mergeCell ref="J2:L2"/>
    <mergeCell ref="S2:U2"/>
    <mergeCell ref="AB2:AD2"/>
    <mergeCell ref="P1:R1"/>
    <mergeCell ref="P2:R2"/>
    <mergeCell ref="M1:O1"/>
    <mergeCell ref="M2:O2"/>
    <mergeCell ref="AK1:AM1"/>
    <mergeCell ref="AK2:AM2"/>
    <mergeCell ref="Y1:AA1"/>
    <mergeCell ref="Y2:AA2"/>
    <mergeCell ref="V1:X1"/>
    <mergeCell ref="V2:X2"/>
    <mergeCell ref="AE2:AG2"/>
    <mergeCell ref="AH1:AJ1"/>
    <mergeCell ref="AH2:AJ2"/>
    <mergeCell ref="AE1:AG1"/>
  </mergeCells>
  <hyperlinks>
    <hyperlink ref="A34" r:id="rId1" location="current" display="https://www.oeb.ca/consumer-information-and-protection/electricity-rates - current" xr:uid="{2F8BFBC9-016C-45CD-A694-9313B879891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C475-EBE1-4453-BBF1-63D45FEFD701}">
  <dimension ref="A1:AB27"/>
  <sheetViews>
    <sheetView workbookViewId="0">
      <selection activeCell="X7" sqref="X7"/>
    </sheetView>
  </sheetViews>
  <sheetFormatPr defaultRowHeight="14.25" x14ac:dyDescent="0.45"/>
  <cols>
    <col min="1" max="1" width="9.06640625" style="1"/>
    <col min="2" max="28" width="11.06640625" style="6" customWidth="1"/>
  </cols>
  <sheetData>
    <row r="1" spans="1:28" x14ac:dyDescent="0.45">
      <c r="A1" s="135" t="s">
        <v>40</v>
      </c>
      <c r="B1" s="162" t="s">
        <v>43</v>
      </c>
      <c r="C1" s="163"/>
      <c r="D1" s="164"/>
      <c r="E1" s="162" t="s">
        <v>44</v>
      </c>
      <c r="F1" s="163"/>
      <c r="G1" s="164"/>
      <c r="H1" s="162" t="s">
        <v>45</v>
      </c>
      <c r="I1" s="163"/>
      <c r="J1" s="164"/>
      <c r="K1" s="79"/>
      <c r="L1" s="80" t="s">
        <v>34</v>
      </c>
      <c r="M1" s="81"/>
      <c r="N1" s="79"/>
      <c r="O1" s="80" t="s">
        <v>33</v>
      </c>
      <c r="P1" s="81"/>
      <c r="Q1" s="79"/>
      <c r="R1" s="80" t="s">
        <v>41</v>
      </c>
      <c r="S1" s="81"/>
      <c r="T1" s="82"/>
      <c r="U1" s="82" t="s">
        <v>35</v>
      </c>
      <c r="V1" s="82"/>
      <c r="W1" s="82"/>
      <c r="X1" s="82" t="s">
        <v>39</v>
      </c>
      <c r="Y1" s="83"/>
      <c r="Z1" s="82"/>
      <c r="AA1" s="82" t="s">
        <v>42</v>
      </c>
      <c r="AB1" s="83"/>
    </row>
    <row r="2" spans="1:28" ht="14.65" thickBot="1" x14ac:dyDescent="0.5">
      <c r="A2" s="137"/>
      <c r="B2" s="159" t="s">
        <v>1</v>
      </c>
      <c r="C2" s="160"/>
      <c r="D2" s="161"/>
      <c r="E2" s="159" t="s">
        <v>1</v>
      </c>
      <c r="F2" s="160"/>
      <c r="G2" s="161"/>
      <c r="H2" s="159" t="s">
        <v>1</v>
      </c>
      <c r="I2" s="160"/>
      <c r="J2" s="161"/>
      <c r="K2" s="159" t="s">
        <v>1</v>
      </c>
      <c r="L2" s="160"/>
      <c r="M2" s="161"/>
      <c r="N2" s="159" t="s">
        <v>1</v>
      </c>
      <c r="O2" s="160"/>
      <c r="P2" s="161"/>
      <c r="Q2" s="159" t="s">
        <v>1</v>
      </c>
      <c r="R2" s="160"/>
      <c r="S2" s="161"/>
      <c r="T2" s="160" t="s">
        <v>1</v>
      </c>
      <c r="U2" s="160"/>
      <c r="V2" s="160"/>
      <c r="W2" s="160" t="s">
        <v>1</v>
      </c>
      <c r="X2" s="160"/>
      <c r="Y2" s="161"/>
      <c r="Z2" s="159" t="s">
        <v>1</v>
      </c>
      <c r="AA2" s="160"/>
      <c r="AB2" s="161"/>
    </row>
    <row r="3" spans="1:28" x14ac:dyDescent="0.45">
      <c r="A3" s="29" t="s">
        <v>32</v>
      </c>
      <c r="B3" s="27" t="s">
        <v>36</v>
      </c>
      <c r="C3" s="6" t="s">
        <v>37</v>
      </c>
      <c r="D3" s="72" t="s">
        <v>38</v>
      </c>
      <c r="E3" s="27" t="s">
        <v>36</v>
      </c>
      <c r="F3" s="6" t="s">
        <v>37</v>
      </c>
      <c r="G3" s="72" t="s">
        <v>38</v>
      </c>
      <c r="H3" s="75" t="s">
        <v>36</v>
      </c>
      <c r="I3" s="47" t="s">
        <v>37</v>
      </c>
      <c r="J3" s="76" t="s">
        <v>38</v>
      </c>
      <c r="K3" s="27" t="s">
        <v>36</v>
      </c>
      <c r="L3" s="6" t="s">
        <v>37</v>
      </c>
      <c r="M3" s="72" t="s">
        <v>38</v>
      </c>
      <c r="N3" s="27" t="s">
        <v>36</v>
      </c>
      <c r="O3" s="6" t="s">
        <v>37</v>
      </c>
      <c r="P3" s="72" t="s">
        <v>38</v>
      </c>
      <c r="Q3" s="75" t="s">
        <v>36</v>
      </c>
      <c r="R3" s="47" t="s">
        <v>37</v>
      </c>
      <c r="S3" s="76" t="s">
        <v>38</v>
      </c>
      <c r="T3" s="6" t="s">
        <v>36</v>
      </c>
      <c r="U3" s="6" t="s">
        <v>37</v>
      </c>
      <c r="V3" s="6" t="s">
        <v>38</v>
      </c>
      <c r="W3" s="6" t="s">
        <v>36</v>
      </c>
      <c r="X3" s="6" t="s">
        <v>37</v>
      </c>
      <c r="Y3" s="72" t="s">
        <v>38</v>
      </c>
      <c r="Z3" s="75" t="s">
        <v>36</v>
      </c>
      <c r="AA3" s="47" t="s">
        <v>37</v>
      </c>
      <c r="AB3" s="76" t="s">
        <v>38</v>
      </c>
    </row>
    <row r="4" spans="1:28" x14ac:dyDescent="0.45">
      <c r="A4" s="29">
        <v>1</v>
      </c>
      <c r="B4" s="27">
        <v>-1.0922927856444957</v>
      </c>
      <c r="C4" s="6">
        <v>-0.63070106506350143</v>
      </c>
      <c r="D4" s="72">
        <v>-0.40576457977299896</v>
      </c>
      <c r="E4" s="27">
        <v>-1.0922927856444957</v>
      </c>
      <c r="F4" s="6">
        <v>-0.63070106506350143</v>
      </c>
      <c r="G4" s="72">
        <v>-0.40576457977299896</v>
      </c>
      <c r="H4" s="27">
        <f>AVERAGE(B4,E4)</f>
        <v>-1.0922927856444957</v>
      </c>
      <c r="I4" s="6">
        <f t="shared" ref="I4:J4" si="0">AVERAGE(C4,F4)</f>
        <v>-0.63070106506350143</v>
      </c>
      <c r="J4" s="72">
        <f t="shared" si="0"/>
        <v>-0.40576457977299896</v>
      </c>
      <c r="K4" s="27">
        <v>-1.7340507507324006</v>
      </c>
      <c r="L4" s="6">
        <v>-0.41671371459960227</v>
      </c>
      <c r="M4" s="72">
        <v>-0.13124752044679866</v>
      </c>
      <c r="N4" s="27">
        <v>-1.7340507507324006</v>
      </c>
      <c r="O4" s="6">
        <v>-0.41671371459960227</v>
      </c>
      <c r="P4" s="72">
        <v>-0.13124752044679866</v>
      </c>
      <c r="Q4" s="27">
        <f>AVERAGE(K4,N4)</f>
        <v>-1.7340507507324006</v>
      </c>
      <c r="R4" s="6">
        <f t="shared" ref="R4:R27" si="1">AVERAGE(L4,O4)</f>
        <v>-0.41671371459960227</v>
      </c>
      <c r="S4" s="72">
        <f t="shared" ref="S4:S27" si="2">AVERAGE(M4,P4)</f>
        <v>-0.13124752044679866</v>
      </c>
      <c r="T4" s="6">
        <v>-0.3897705078125</v>
      </c>
      <c r="U4" s="6">
        <v>-0.44854736328120026</v>
      </c>
      <c r="V4" s="6">
        <v>-0.34740257263189989</v>
      </c>
      <c r="W4" s="6">
        <v>-0.3897705078125</v>
      </c>
      <c r="X4" s="6">
        <v>-0.44854736328120026</v>
      </c>
      <c r="Y4" s="72">
        <v>-0.34740257263189989</v>
      </c>
      <c r="Z4" s="27">
        <f>AVERAGE(T4,W4)</f>
        <v>-0.3897705078125</v>
      </c>
      <c r="AA4" s="6">
        <f t="shared" ref="AA4:AA27" si="3">AVERAGE(U4,X4)</f>
        <v>-0.44854736328120026</v>
      </c>
      <c r="AB4" s="72">
        <f t="shared" ref="AB4:AB27" si="4">AVERAGE(V4,Y4)</f>
        <v>-0.34740257263189989</v>
      </c>
    </row>
    <row r="5" spans="1:28" x14ac:dyDescent="0.45">
      <c r="A5" s="29">
        <v>2</v>
      </c>
      <c r="B5" s="27">
        <v>-1.0630607604981037</v>
      </c>
      <c r="C5" s="6">
        <v>-0.61417198181149857</v>
      </c>
      <c r="D5" s="72">
        <v>-0.3949956893921005</v>
      </c>
      <c r="E5" s="27">
        <v>-1.0630607604981037</v>
      </c>
      <c r="F5" s="6">
        <v>-0.61417198181149857</v>
      </c>
      <c r="G5" s="72">
        <v>-0.3949956893921005</v>
      </c>
      <c r="H5" s="27">
        <f t="shared" ref="H5:H27" si="5">AVERAGE(B5,E5)</f>
        <v>-1.0630607604981037</v>
      </c>
      <c r="I5" s="6">
        <f t="shared" ref="I5:I27" si="6">AVERAGE(C5,F5)</f>
        <v>-0.61417198181149857</v>
      </c>
      <c r="J5" s="72">
        <f t="shared" ref="J5:J27" si="7">AVERAGE(D5,G5)</f>
        <v>-0.3949956893921005</v>
      </c>
      <c r="K5" s="27">
        <v>-1.7135658264160014</v>
      </c>
      <c r="L5" s="6">
        <v>-0.41269302368160155</v>
      </c>
      <c r="M5" s="72">
        <v>-0.13017177581790129</v>
      </c>
      <c r="N5" s="27">
        <v>-1.7135658264160014</v>
      </c>
      <c r="O5" s="6">
        <v>-0.41269302368160155</v>
      </c>
      <c r="P5" s="72">
        <v>-0.13017177581790129</v>
      </c>
      <c r="Q5" s="27">
        <f t="shared" ref="Q5:Q27" si="8">AVERAGE(K5,N5)</f>
        <v>-1.7135658264160014</v>
      </c>
      <c r="R5" s="6">
        <f t="shared" si="1"/>
        <v>-0.41269302368160155</v>
      </c>
      <c r="S5" s="72">
        <f t="shared" si="2"/>
        <v>-0.13017177581790129</v>
      </c>
      <c r="T5" s="6">
        <v>-0.37919235229490056</v>
      </c>
      <c r="U5" s="6">
        <v>-0.43674659728999998</v>
      </c>
      <c r="V5" s="6">
        <v>-0.33810615539550071</v>
      </c>
      <c r="W5" s="6">
        <v>-0.37919235229490056</v>
      </c>
      <c r="X5" s="6">
        <v>-0.43674659728999998</v>
      </c>
      <c r="Y5" s="72">
        <v>-0.33810615539550071</v>
      </c>
      <c r="Z5" s="27">
        <f t="shared" ref="Z5:Z27" si="9">AVERAGE(T5,W5)</f>
        <v>-0.37919235229490056</v>
      </c>
      <c r="AA5" s="6">
        <f t="shared" si="3"/>
        <v>-0.43674659728999998</v>
      </c>
      <c r="AB5" s="72">
        <f t="shared" si="4"/>
        <v>-0.33810615539550071</v>
      </c>
    </row>
    <row r="6" spans="1:28" x14ac:dyDescent="0.45">
      <c r="A6" s="29">
        <v>3</v>
      </c>
      <c r="B6" s="27">
        <v>-1.0434532165527983</v>
      </c>
      <c r="C6" s="6">
        <v>-0.60416030883790128</v>
      </c>
      <c r="D6" s="72">
        <v>-0.38877487182619852</v>
      </c>
      <c r="E6" s="27">
        <v>-1.0434532165527983</v>
      </c>
      <c r="F6" s="6">
        <v>-0.60416030883790128</v>
      </c>
      <c r="G6" s="72">
        <v>-0.38877487182619852</v>
      </c>
      <c r="H6" s="27">
        <f t="shared" si="5"/>
        <v>-1.0434532165527983</v>
      </c>
      <c r="I6" s="6">
        <f t="shared" si="6"/>
        <v>-0.60416030883790128</v>
      </c>
      <c r="J6" s="72">
        <f t="shared" si="7"/>
        <v>-0.38877487182619852</v>
      </c>
      <c r="K6" s="27">
        <v>-1.698024749755902</v>
      </c>
      <c r="L6" s="6">
        <v>-0.40924263000490058</v>
      </c>
      <c r="M6" s="72">
        <v>-0.12911510467530007</v>
      </c>
      <c r="N6" s="27">
        <v>-1.698024749755902</v>
      </c>
      <c r="O6" s="6">
        <v>-0.40924263000490058</v>
      </c>
      <c r="P6" s="72">
        <v>-0.12911510467530007</v>
      </c>
      <c r="Q6" s="27">
        <f t="shared" si="8"/>
        <v>-1.698024749755902</v>
      </c>
      <c r="R6" s="6">
        <f t="shared" si="1"/>
        <v>-0.40924263000490058</v>
      </c>
      <c r="S6" s="72">
        <f t="shared" si="2"/>
        <v>-0.12911510467530007</v>
      </c>
      <c r="T6" s="6">
        <v>-0.36986923217779832</v>
      </c>
      <c r="U6" s="6">
        <v>-0.42936134338379972</v>
      </c>
      <c r="V6" s="6">
        <v>-0.33272171020509944</v>
      </c>
      <c r="W6" s="6">
        <v>-0.36986923217779832</v>
      </c>
      <c r="X6" s="6">
        <v>-0.42936134338379972</v>
      </c>
      <c r="Y6" s="72">
        <v>-0.33272171020509944</v>
      </c>
      <c r="Z6" s="27">
        <f t="shared" si="9"/>
        <v>-0.36986923217779832</v>
      </c>
      <c r="AA6" s="6">
        <f t="shared" si="3"/>
        <v>-0.42936134338379972</v>
      </c>
      <c r="AB6" s="72">
        <f t="shared" si="4"/>
        <v>-0.33272171020509944</v>
      </c>
    </row>
    <row r="7" spans="1:28" x14ac:dyDescent="0.45">
      <c r="A7" s="29">
        <v>4</v>
      </c>
      <c r="B7" s="27">
        <v>-1.0418586730957955</v>
      </c>
      <c r="C7" s="6">
        <v>-0.6033420562744034</v>
      </c>
      <c r="D7" s="72">
        <v>-0.38826751708990059</v>
      </c>
      <c r="E7" s="27">
        <v>-1.0418586730957955</v>
      </c>
      <c r="F7" s="6">
        <v>-0.6033420562744034</v>
      </c>
      <c r="G7" s="72">
        <v>-0.38826751708990059</v>
      </c>
      <c r="H7" s="27">
        <f t="shared" si="5"/>
        <v>-1.0418586730957955</v>
      </c>
      <c r="I7" s="6">
        <f t="shared" si="6"/>
        <v>-0.6033420562744034</v>
      </c>
      <c r="J7" s="72">
        <f t="shared" si="7"/>
        <v>-0.38826751708990059</v>
      </c>
      <c r="K7" s="27">
        <v>-1.6967353820800994</v>
      </c>
      <c r="L7" s="6">
        <v>-0.40895652770990054</v>
      </c>
      <c r="M7" s="72">
        <v>-0.1290283203125</v>
      </c>
      <c r="N7" s="27">
        <v>-1.6967353820800994</v>
      </c>
      <c r="O7" s="6">
        <v>-0.40895652770990054</v>
      </c>
      <c r="P7" s="72">
        <v>-0.1290283203125</v>
      </c>
      <c r="Q7" s="27">
        <f t="shared" si="8"/>
        <v>-1.6967353820800994</v>
      </c>
      <c r="R7" s="6">
        <f t="shared" si="1"/>
        <v>-0.40895652770990054</v>
      </c>
      <c r="S7" s="72">
        <f t="shared" si="2"/>
        <v>-0.1290283203125</v>
      </c>
      <c r="T7" s="6">
        <v>-0.36910247802739349</v>
      </c>
      <c r="U7" s="6">
        <v>-0.42875862121580255</v>
      </c>
      <c r="V7" s="6">
        <v>-0.33228015899659979</v>
      </c>
      <c r="W7" s="6">
        <v>-0.36910247802739349</v>
      </c>
      <c r="X7" s="6">
        <v>-0.42875862121580255</v>
      </c>
      <c r="Y7" s="72">
        <v>-0.33228015899659979</v>
      </c>
      <c r="Z7" s="27">
        <f t="shared" si="9"/>
        <v>-0.36910247802739349</v>
      </c>
      <c r="AA7" s="6">
        <f t="shared" si="3"/>
        <v>-0.42875862121580255</v>
      </c>
      <c r="AB7" s="72">
        <f t="shared" si="4"/>
        <v>-0.33228015899659979</v>
      </c>
    </row>
    <row r="8" spans="1:28" x14ac:dyDescent="0.45">
      <c r="A8" s="29">
        <v>5</v>
      </c>
      <c r="B8" s="27">
        <v>-1.0702514648437003</v>
      </c>
      <c r="C8" s="6">
        <v>-0.61810493469240058</v>
      </c>
      <c r="D8" s="72">
        <v>-0.39751625061039952</v>
      </c>
      <c r="E8" s="27">
        <v>-1.0702514648437003</v>
      </c>
      <c r="F8" s="6">
        <v>-0.61810493469240058</v>
      </c>
      <c r="G8" s="72">
        <v>-0.39751625061039952</v>
      </c>
      <c r="H8" s="27">
        <f t="shared" si="5"/>
        <v>-1.0702514648437003</v>
      </c>
      <c r="I8" s="6">
        <f t="shared" si="6"/>
        <v>-0.61810493469240058</v>
      </c>
      <c r="J8" s="72">
        <f t="shared" si="7"/>
        <v>-0.39751625061039952</v>
      </c>
      <c r="K8" s="27">
        <v>-1.7188949584961009</v>
      </c>
      <c r="L8" s="6">
        <v>-0.41383361816409803</v>
      </c>
      <c r="M8" s="72">
        <v>-0.1305131912231996</v>
      </c>
      <c r="N8" s="27">
        <v>-1.7188949584961009</v>
      </c>
      <c r="O8" s="6">
        <v>-0.41383361816409803</v>
      </c>
      <c r="P8" s="72">
        <v>-0.1305131912231996</v>
      </c>
      <c r="Q8" s="27">
        <f t="shared" si="8"/>
        <v>-1.7188949584961009</v>
      </c>
      <c r="R8" s="6">
        <f t="shared" si="1"/>
        <v>-0.41383361816409803</v>
      </c>
      <c r="S8" s="72">
        <f t="shared" si="2"/>
        <v>-0.1305131912231996</v>
      </c>
      <c r="T8" s="6">
        <v>-0.38206481933590197</v>
      </c>
      <c r="U8" s="6">
        <v>-0.43957138061529832</v>
      </c>
      <c r="V8" s="6">
        <v>-0.34027576446539953</v>
      </c>
      <c r="W8" s="6">
        <v>-0.38206481933590197</v>
      </c>
      <c r="X8" s="6">
        <v>-0.43957138061529832</v>
      </c>
      <c r="Y8" s="72">
        <v>-0.34027576446539953</v>
      </c>
      <c r="Z8" s="27">
        <f t="shared" si="9"/>
        <v>-0.38206481933590197</v>
      </c>
      <c r="AA8" s="6">
        <f t="shared" si="3"/>
        <v>-0.43957138061529832</v>
      </c>
      <c r="AB8" s="72">
        <f t="shared" si="4"/>
        <v>-0.34027576446539953</v>
      </c>
    </row>
    <row r="9" spans="1:28" x14ac:dyDescent="0.45">
      <c r="A9" s="29">
        <v>6</v>
      </c>
      <c r="B9" s="27">
        <v>-1.1311798095703054</v>
      </c>
      <c r="C9" s="6">
        <v>-0.65290451049810017</v>
      </c>
      <c r="D9" s="72">
        <v>-0.42031288146970169</v>
      </c>
      <c r="E9" s="27">
        <v>-1.1311798095703054</v>
      </c>
      <c r="F9" s="6">
        <v>-0.65290451049810017</v>
      </c>
      <c r="G9" s="72">
        <v>-0.42031288146970169</v>
      </c>
      <c r="H9" s="27">
        <f t="shared" si="5"/>
        <v>-1.1311798095703054</v>
      </c>
      <c r="I9" s="6">
        <f t="shared" si="6"/>
        <v>-0.65290451049810017</v>
      </c>
      <c r="J9" s="72">
        <f t="shared" si="7"/>
        <v>-0.42031288146970169</v>
      </c>
      <c r="K9" s="27">
        <v>-1.7583847045899006</v>
      </c>
      <c r="L9" s="6">
        <v>-0.4220199584960973</v>
      </c>
      <c r="M9" s="72">
        <v>-0.13310813903800067</v>
      </c>
      <c r="N9" s="27">
        <v>-1.7583847045899006</v>
      </c>
      <c r="O9" s="6">
        <v>-0.4220199584960973</v>
      </c>
      <c r="P9" s="72">
        <v>-0.13310813903800067</v>
      </c>
      <c r="Q9" s="27">
        <f t="shared" si="8"/>
        <v>-1.7583847045899006</v>
      </c>
      <c r="R9" s="6">
        <f t="shared" si="1"/>
        <v>-0.4220199584960973</v>
      </c>
      <c r="S9" s="72">
        <f t="shared" si="2"/>
        <v>-0.13310813903800067</v>
      </c>
      <c r="T9" s="6">
        <v>-0.40315628051759944</v>
      </c>
      <c r="U9" s="6">
        <v>-0.46429443359379974</v>
      </c>
      <c r="V9" s="6">
        <v>-0.35992908477780006</v>
      </c>
      <c r="W9" s="6">
        <v>-0.40315628051759944</v>
      </c>
      <c r="X9" s="6">
        <v>-0.46429443359379974</v>
      </c>
      <c r="Y9" s="72">
        <v>-0.35992908477780006</v>
      </c>
      <c r="Z9" s="27">
        <f t="shared" si="9"/>
        <v>-0.40315628051759944</v>
      </c>
      <c r="AA9" s="6">
        <f t="shared" si="3"/>
        <v>-0.46429443359379974</v>
      </c>
      <c r="AB9" s="72">
        <f t="shared" si="4"/>
        <v>-0.35992908477780006</v>
      </c>
    </row>
    <row r="10" spans="1:28" x14ac:dyDescent="0.45">
      <c r="A10" s="29">
        <v>7</v>
      </c>
      <c r="B10" s="27">
        <v>-1.2632980346678977</v>
      </c>
      <c r="C10" s="6">
        <v>-0.71513366699220171</v>
      </c>
      <c r="D10" s="72">
        <v>-0.45750617980959873</v>
      </c>
      <c r="E10" s="27">
        <v>-1.2661743164062003</v>
      </c>
      <c r="F10" s="6">
        <v>-0.71675300598150216</v>
      </c>
      <c r="G10" s="72">
        <v>-0.45849800109859906</v>
      </c>
      <c r="H10" s="27">
        <f t="shared" si="5"/>
        <v>-1.264736175537049</v>
      </c>
      <c r="I10" s="6">
        <f t="shared" si="6"/>
        <v>-0.71594333648685193</v>
      </c>
      <c r="J10" s="72">
        <f t="shared" si="7"/>
        <v>-0.4580020904540989</v>
      </c>
      <c r="K10" s="27">
        <v>-1.8033866882324006</v>
      </c>
      <c r="L10" s="6">
        <v>-0.43034172058110087</v>
      </c>
      <c r="M10" s="72">
        <v>-0.13557529449459871</v>
      </c>
      <c r="N10" s="27">
        <v>-1.8033866882324006</v>
      </c>
      <c r="O10" s="6">
        <v>-0.43034172058110087</v>
      </c>
      <c r="P10" s="72">
        <v>-0.13557529449459871</v>
      </c>
      <c r="Q10" s="27">
        <f t="shared" si="8"/>
        <v>-1.8033866882324006</v>
      </c>
      <c r="R10" s="6">
        <f t="shared" si="1"/>
        <v>-0.43034172058110087</v>
      </c>
      <c r="S10" s="72">
        <f t="shared" si="2"/>
        <v>-0.13557529449459871</v>
      </c>
      <c r="T10" s="6">
        <v>-0.4342231750487997</v>
      </c>
      <c r="U10" s="6">
        <v>-0.50060844421389916</v>
      </c>
      <c r="V10" s="6">
        <v>-0.38892078399659979</v>
      </c>
      <c r="W10" s="6">
        <v>-0.43484497070310368</v>
      </c>
      <c r="X10" s="6">
        <v>-0.50163078308110087</v>
      </c>
      <c r="Y10" s="72">
        <v>-0.38971996307370027</v>
      </c>
      <c r="Z10" s="27">
        <f t="shared" si="9"/>
        <v>-0.43453407287595169</v>
      </c>
      <c r="AA10" s="6">
        <f t="shared" si="3"/>
        <v>-0.50111961364750002</v>
      </c>
      <c r="AB10" s="72">
        <f t="shared" si="4"/>
        <v>-0.38932037353515003</v>
      </c>
    </row>
    <row r="11" spans="1:28" x14ac:dyDescent="0.45">
      <c r="A11" s="29">
        <v>8</v>
      </c>
      <c r="B11" s="27">
        <v>-1.3543167114258026</v>
      </c>
      <c r="C11" s="6">
        <v>-0.74637985229490056</v>
      </c>
      <c r="D11" s="72">
        <v>-0.47307300567629973</v>
      </c>
      <c r="E11" s="27">
        <v>-1.3965988159179972</v>
      </c>
      <c r="F11" s="6">
        <v>-0.77016830444339845</v>
      </c>
      <c r="G11" s="72">
        <v>-0.48766708374020062</v>
      </c>
      <c r="H11" s="27">
        <f t="shared" si="5"/>
        <v>-1.3754577636718999</v>
      </c>
      <c r="I11" s="6">
        <f t="shared" si="6"/>
        <v>-0.75827407836914951</v>
      </c>
      <c r="J11" s="72">
        <f t="shared" si="7"/>
        <v>-0.48037004470825018</v>
      </c>
      <c r="K11" s="27">
        <v>-1.8232879638672017</v>
      </c>
      <c r="L11" s="6">
        <v>-0.43325424194339845</v>
      </c>
      <c r="M11" s="72">
        <v>-0.13638114929200107</v>
      </c>
      <c r="N11" s="27">
        <v>-1.8232879638672017</v>
      </c>
      <c r="O11" s="6">
        <v>-0.43325424194339845</v>
      </c>
      <c r="P11" s="72">
        <v>-0.13638114929200107</v>
      </c>
      <c r="Q11" s="27">
        <f t="shared" si="8"/>
        <v>-1.8232879638672017</v>
      </c>
      <c r="R11" s="6">
        <f t="shared" si="1"/>
        <v>-0.43325424194339845</v>
      </c>
      <c r="S11" s="72">
        <f t="shared" si="2"/>
        <v>-0.13638114929200107</v>
      </c>
      <c r="T11" s="6">
        <v>-0.44696426391600141</v>
      </c>
      <c r="U11" s="6">
        <v>-0.51169586181639914</v>
      </c>
      <c r="V11" s="6">
        <v>-0.39805889129640093</v>
      </c>
      <c r="W11" s="6">
        <v>-0.4561767578125</v>
      </c>
      <c r="X11" s="6">
        <v>-0.52674865722660158</v>
      </c>
      <c r="Y11" s="72">
        <v>-0.40981864929200107</v>
      </c>
      <c r="Z11" s="27">
        <f t="shared" si="9"/>
        <v>-0.45157051086425071</v>
      </c>
      <c r="AA11" s="6">
        <f t="shared" si="3"/>
        <v>-0.51922225952150036</v>
      </c>
      <c r="AB11" s="72">
        <f t="shared" si="4"/>
        <v>-0.403938770294201</v>
      </c>
    </row>
    <row r="12" spans="1:28" x14ac:dyDescent="0.45">
      <c r="A12" s="29">
        <v>9</v>
      </c>
      <c r="B12" s="27">
        <v>-1.2727584838867045</v>
      </c>
      <c r="C12" s="6">
        <v>-0.69450759887699931</v>
      </c>
      <c r="D12" s="72">
        <v>-0.44013977050780007</v>
      </c>
      <c r="E12" s="27">
        <v>-1.434677124023402</v>
      </c>
      <c r="F12" s="6">
        <v>-0.78555107116699929</v>
      </c>
      <c r="G12" s="72">
        <v>-0.49600315093989877</v>
      </c>
      <c r="H12" s="27">
        <f t="shared" si="5"/>
        <v>-1.3537178039550533</v>
      </c>
      <c r="I12" s="6">
        <f t="shared" si="6"/>
        <v>-0.7400293350219993</v>
      </c>
      <c r="J12" s="72">
        <f t="shared" si="7"/>
        <v>-0.46807146072384942</v>
      </c>
      <c r="K12" s="27">
        <v>-1.8273048400879048</v>
      </c>
      <c r="L12" s="6">
        <v>-0.43366622924810017</v>
      </c>
      <c r="M12" s="72">
        <v>-0.13648700714109907</v>
      </c>
      <c r="N12" s="27">
        <v>-1.8273048400879048</v>
      </c>
      <c r="O12" s="6">
        <v>-0.43366241455079901</v>
      </c>
      <c r="P12" s="72">
        <v>-0.13647651672359906</v>
      </c>
      <c r="Q12" s="27">
        <f t="shared" si="8"/>
        <v>-1.8273048400879048</v>
      </c>
      <c r="R12" s="6">
        <f t="shared" si="1"/>
        <v>-0.43366432189944959</v>
      </c>
      <c r="S12" s="72">
        <f t="shared" si="2"/>
        <v>-0.13648176193234907</v>
      </c>
      <c r="T12" s="6">
        <v>-0.42693710327150569</v>
      </c>
      <c r="U12" s="6">
        <v>-0.47620964050290127</v>
      </c>
      <c r="V12" s="6">
        <v>-0.37048721313479938</v>
      </c>
      <c r="W12" s="6">
        <v>-0.46223068237300424</v>
      </c>
      <c r="X12" s="6">
        <v>-0.53387260437009942</v>
      </c>
      <c r="Y12" s="72">
        <v>-0.41552925109859906</v>
      </c>
      <c r="Z12" s="27">
        <f t="shared" si="9"/>
        <v>-0.44458389282225497</v>
      </c>
      <c r="AA12" s="6">
        <f t="shared" si="3"/>
        <v>-0.50504112243650034</v>
      </c>
      <c r="AB12" s="72">
        <f t="shared" si="4"/>
        <v>-0.39300823211669922</v>
      </c>
    </row>
    <row r="13" spans="1:28" x14ac:dyDescent="0.45">
      <c r="A13" s="29">
        <v>10</v>
      </c>
      <c r="B13" s="27">
        <v>-1.1240615844725994</v>
      </c>
      <c r="C13" s="6">
        <v>-0.60855484008789773</v>
      </c>
      <c r="D13" s="72">
        <v>-0.38696098327640094</v>
      </c>
      <c r="E13" s="27">
        <v>-1.4485893249512003</v>
      </c>
      <c r="F13" s="6">
        <v>-0.79090690612789771</v>
      </c>
      <c r="G13" s="72">
        <v>-0.49883651733400036</v>
      </c>
      <c r="H13" s="27">
        <f t="shared" si="5"/>
        <v>-1.2863254547118999</v>
      </c>
      <c r="I13" s="6">
        <f t="shared" si="6"/>
        <v>-0.69973087310789772</v>
      </c>
      <c r="J13" s="72">
        <f t="shared" si="7"/>
        <v>-0.44289875030520065</v>
      </c>
      <c r="K13" s="27">
        <v>-1.828720092773402</v>
      </c>
      <c r="L13" s="6">
        <v>-0.43335914611810011</v>
      </c>
      <c r="M13" s="72">
        <v>-0.13612270355219991</v>
      </c>
      <c r="N13" s="27">
        <v>-1.828720092773402</v>
      </c>
      <c r="O13" s="6">
        <v>-0.43377685546870026</v>
      </c>
      <c r="P13" s="72">
        <v>-0.13650131225580076</v>
      </c>
      <c r="Q13" s="27">
        <f t="shared" si="8"/>
        <v>-1.828720092773402</v>
      </c>
      <c r="R13" s="6">
        <f t="shared" si="1"/>
        <v>-0.43356800079340019</v>
      </c>
      <c r="S13" s="72">
        <f t="shared" si="2"/>
        <v>-0.13631200790400033</v>
      </c>
      <c r="T13" s="6">
        <v>-0.39347839355470171</v>
      </c>
      <c r="U13" s="6">
        <v>-0.42051696777339842</v>
      </c>
      <c r="V13" s="6">
        <v>-0.32707977294920099</v>
      </c>
      <c r="W13" s="6">
        <v>-0.46433258056639914</v>
      </c>
      <c r="X13" s="6">
        <v>-0.53618431091310015</v>
      </c>
      <c r="Y13" s="72">
        <v>-0.41739559173580076</v>
      </c>
      <c r="Z13" s="27">
        <f t="shared" si="9"/>
        <v>-0.42890548706055043</v>
      </c>
      <c r="AA13" s="6">
        <f t="shared" si="3"/>
        <v>-0.47835063934324928</v>
      </c>
      <c r="AB13" s="72">
        <f t="shared" si="4"/>
        <v>-0.37223768234250088</v>
      </c>
    </row>
    <row r="14" spans="1:28" x14ac:dyDescent="0.45">
      <c r="A14" s="29">
        <v>11</v>
      </c>
      <c r="B14" s="27">
        <v>-0.96829223632820316</v>
      </c>
      <c r="C14" s="6">
        <v>-0.51965713500970168</v>
      </c>
      <c r="D14" s="72">
        <v>-0.33215808868409979</v>
      </c>
      <c r="E14" s="27">
        <v>-1.4537811279297017</v>
      </c>
      <c r="F14" s="6">
        <v>-0.79225349426270242</v>
      </c>
      <c r="G14" s="72">
        <v>-0.49936485290530008</v>
      </c>
      <c r="H14" s="27">
        <f t="shared" si="5"/>
        <v>-1.2110366821289524</v>
      </c>
      <c r="I14" s="6">
        <f t="shared" si="6"/>
        <v>-0.65595531463620205</v>
      </c>
      <c r="J14" s="72">
        <f t="shared" si="7"/>
        <v>-0.41576147079469994</v>
      </c>
      <c r="K14" s="27">
        <v>-1.7959823608399006</v>
      </c>
      <c r="L14" s="6">
        <v>-0.42515373229980113</v>
      </c>
      <c r="M14" s="72">
        <v>-0.13378810882569958</v>
      </c>
      <c r="N14" s="27">
        <v>-1.8295516967774006</v>
      </c>
      <c r="O14" s="6">
        <v>-0.43383216857910156</v>
      </c>
      <c r="P14" s="72">
        <v>-0.13650894165039951</v>
      </c>
      <c r="Q14" s="27">
        <f t="shared" si="8"/>
        <v>-1.8127670288086506</v>
      </c>
      <c r="R14" s="6">
        <f t="shared" si="1"/>
        <v>-0.42949295043945135</v>
      </c>
      <c r="S14" s="72">
        <f t="shared" si="2"/>
        <v>-0.13514852523804954</v>
      </c>
      <c r="T14" s="6">
        <v>-0.35876846313480115</v>
      </c>
      <c r="U14" s="6">
        <v>-0.36322212219240058</v>
      </c>
      <c r="V14" s="6">
        <v>-0.28244209289550071</v>
      </c>
      <c r="W14" s="6">
        <v>-0.46486282348639918</v>
      </c>
      <c r="X14" s="6">
        <v>-0.53634643554690342</v>
      </c>
      <c r="Y14" s="72">
        <v>-0.4175586700439009</v>
      </c>
      <c r="Z14" s="27">
        <f t="shared" si="9"/>
        <v>-0.41181564331060017</v>
      </c>
      <c r="AA14" s="6">
        <f t="shared" si="3"/>
        <v>-0.449784278869652</v>
      </c>
      <c r="AB14" s="72">
        <f t="shared" si="4"/>
        <v>-0.35000038146970081</v>
      </c>
    </row>
    <row r="15" spans="1:28" x14ac:dyDescent="0.45">
      <c r="A15" s="29">
        <v>12</v>
      </c>
      <c r="B15" s="27">
        <v>-0.88558959960940342</v>
      </c>
      <c r="C15" s="6">
        <v>-0.47169113159180043</v>
      </c>
      <c r="D15" s="72">
        <v>-0.30242824554439984</v>
      </c>
      <c r="E15" s="27">
        <v>-1.4589729309082031</v>
      </c>
      <c r="F15" s="6">
        <v>-0.79357719421390271</v>
      </c>
      <c r="G15" s="72">
        <v>-0.49988651275629969</v>
      </c>
      <c r="H15" s="27">
        <f t="shared" si="5"/>
        <v>-1.1722812652588033</v>
      </c>
      <c r="I15" s="6">
        <f t="shared" si="6"/>
        <v>-0.63263416290285157</v>
      </c>
      <c r="J15" s="72">
        <f t="shared" si="7"/>
        <v>-0.40115737915034977</v>
      </c>
      <c r="K15" s="27">
        <v>-1.6390419006348012</v>
      </c>
      <c r="L15" s="6">
        <v>-0.38438987731940344</v>
      </c>
      <c r="M15" s="72">
        <v>-0.12095546722409978</v>
      </c>
      <c r="N15" s="27">
        <v>-1.830333709716804</v>
      </c>
      <c r="O15" s="6">
        <v>-0.43387222290040128</v>
      </c>
      <c r="P15" s="72">
        <v>-0.1365175247191992</v>
      </c>
      <c r="Q15" s="27">
        <f t="shared" si="8"/>
        <v>-1.7346878051758026</v>
      </c>
      <c r="R15" s="6">
        <f t="shared" si="1"/>
        <v>-0.40913105010990236</v>
      </c>
      <c r="S15" s="72">
        <f t="shared" si="2"/>
        <v>-0.12873649597164949</v>
      </c>
      <c r="T15" s="6">
        <v>-0.33992385864260655</v>
      </c>
      <c r="U15" s="6">
        <v>-0.33183097839360087</v>
      </c>
      <c r="V15" s="6">
        <v>-0.25801849365229934</v>
      </c>
      <c r="W15" s="6">
        <v>-0.46538162231450286</v>
      </c>
      <c r="X15" s="6">
        <v>-0.5364990234375</v>
      </c>
      <c r="Y15" s="72">
        <v>-0.4177093505859002</v>
      </c>
      <c r="Z15" s="27">
        <f t="shared" si="9"/>
        <v>-0.4026527404785547</v>
      </c>
      <c r="AA15" s="6">
        <f t="shared" si="3"/>
        <v>-0.43416500091555044</v>
      </c>
      <c r="AB15" s="72">
        <f t="shared" si="4"/>
        <v>-0.33786392211909977</v>
      </c>
    </row>
    <row r="16" spans="1:28" x14ac:dyDescent="0.45">
      <c r="A16" s="29">
        <v>13</v>
      </c>
      <c r="B16" s="27">
        <v>-0.92084121704100141</v>
      </c>
      <c r="C16" s="6">
        <v>-0.48987388610840199</v>
      </c>
      <c r="D16" s="72">
        <v>-0.31327056884760118</v>
      </c>
      <c r="E16" s="27">
        <v>-1.4685249328613992</v>
      </c>
      <c r="F16" s="6">
        <v>-0.79739952087400212</v>
      </c>
      <c r="G16" s="72">
        <v>-0.50194263458249999</v>
      </c>
      <c r="H16" s="27">
        <f t="shared" si="5"/>
        <v>-1.1946830749512003</v>
      </c>
      <c r="I16" s="6">
        <f t="shared" si="6"/>
        <v>-0.64363670349120206</v>
      </c>
      <c r="J16" s="72">
        <f t="shared" si="7"/>
        <v>-0.40760660171505059</v>
      </c>
      <c r="K16" s="27">
        <v>-1.6998062133788991</v>
      </c>
      <c r="L16" s="6">
        <v>-0.39995002746580255</v>
      </c>
      <c r="M16" s="72">
        <v>-0.12584209442140093</v>
      </c>
      <c r="N16" s="27">
        <v>-1.8310546875</v>
      </c>
      <c r="O16" s="6">
        <v>-0.43391036987310017</v>
      </c>
      <c r="P16" s="72">
        <v>-0.1365184783935014</v>
      </c>
      <c r="Q16" s="27">
        <f t="shared" si="8"/>
        <v>-1.7654304504394496</v>
      </c>
      <c r="R16" s="6">
        <f t="shared" si="1"/>
        <v>-0.41693019866945136</v>
      </c>
      <c r="S16" s="72">
        <f t="shared" si="2"/>
        <v>-0.13118028640745116</v>
      </c>
      <c r="T16" s="6">
        <v>-0.34703063964850145</v>
      </c>
      <c r="U16" s="6">
        <v>-0.34271240234380329</v>
      </c>
      <c r="V16" s="6">
        <v>-0.26651668548580076</v>
      </c>
      <c r="W16" s="6">
        <v>-0.46686172485350141</v>
      </c>
      <c r="X16" s="6">
        <v>-0.53823280334470169</v>
      </c>
      <c r="Y16" s="72">
        <v>-0.41910552978510118</v>
      </c>
      <c r="Z16" s="27">
        <f t="shared" si="9"/>
        <v>-0.40694618225100143</v>
      </c>
      <c r="AA16" s="6">
        <f t="shared" si="3"/>
        <v>-0.44047260284425249</v>
      </c>
      <c r="AB16" s="72">
        <f t="shared" si="4"/>
        <v>-0.34281110763545097</v>
      </c>
    </row>
    <row r="17" spans="1:28" x14ac:dyDescent="0.45">
      <c r="A17" s="29">
        <v>14</v>
      </c>
      <c r="B17" s="27">
        <v>-0.96873855590820313</v>
      </c>
      <c r="C17" s="6">
        <v>-0.51600265502930043</v>
      </c>
      <c r="D17" s="72">
        <v>-0.32915973663330078</v>
      </c>
      <c r="E17" s="27">
        <v>-1.4767456054687997</v>
      </c>
      <c r="F17" s="6">
        <v>-0.80119895935060015</v>
      </c>
      <c r="G17" s="72">
        <v>-0.50411987304680039</v>
      </c>
      <c r="H17" s="27">
        <f t="shared" si="5"/>
        <v>-1.2227420806885014</v>
      </c>
      <c r="I17" s="6">
        <f t="shared" si="6"/>
        <v>-0.65860080718995029</v>
      </c>
      <c r="J17" s="72">
        <f t="shared" si="7"/>
        <v>-0.41663980484005059</v>
      </c>
      <c r="K17" s="27">
        <v>-1.7870788574218963</v>
      </c>
      <c r="L17" s="6">
        <v>-0.42245292663569955</v>
      </c>
      <c r="M17" s="72">
        <v>-0.13292026519770062</v>
      </c>
      <c r="N17" s="27">
        <v>-1.8314170837402983</v>
      </c>
      <c r="O17" s="6">
        <v>-0.43391799926759944</v>
      </c>
      <c r="P17" s="72">
        <v>-0.13651561737060014</v>
      </c>
      <c r="Q17" s="27">
        <f t="shared" si="8"/>
        <v>-1.8092479705810973</v>
      </c>
      <c r="R17" s="6">
        <f t="shared" si="1"/>
        <v>-0.4281854629516495</v>
      </c>
      <c r="S17" s="72">
        <f t="shared" si="2"/>
        <v>-0.13471794128415038</v>
      </c>
      <c r="T17" s="6">
        <v>-0.35733795166019888</v>
      </c>
      <c r="U17" s="6">
        <v>-0.35914230346680043</v>
      </c>
      <c r="V17" s="6">
        <v>-0.27933120727540128</v>
      </c>
      <c r="W17" s="6">
        <v>-0.46833038330080257</v>
      </c>
      <c r="X17" s="6">
        <v>-0.54026603698730113</v>
      </c>
      <c r="Y17" s="72">
        <v>-0.42071533203120026</v>
      </c>
      <c r="Z17" s="27">
        <f t="shared" si="9"/>
        <v>-0.41283416748050072</v>
      </c>
      <c r="AA17" s="6">
        <f t="shared" si="3"/>
        <v>-0.44970417022705078</v>
      </c>
      <c r="AB17" s="72">
        <f t="shared" si="4"/>
        <v>-0.35002326965330077</v>
      </c>
    </row>
    <row r="18" spans="1:28" x14ac:dyDescent="0.45">
      <c r="A18" s="29">
        <v>15</v>
      </c>
      <c r="B18" s="27">
        <v>-1.1144371032714062</v>
      </c>
      <c r="C18" s="6">
        <v>-0.59426498413080253</v>
      </c>
      <c r="D18" s="72">
        <v>-0.3764839172362997</v>
      </c>
      <c r="E18" s="27">
        <v>-1.5026588439941051</v>
      </c>
      <c r="F18" s="6">
        <v>-0.81231689453120026</v>
      </c>
      <c r="G18" s="72">
        <v>-0.5102977752685991</v>
      </c>
      <c r="H18" s="27">
        <f t="shared" si="5"/>
        <v>-1.3085479736327557</v>
      </c>
      <c r="I18" s="6">
        <f t="shared" si="6"/>
        <v>-0.7032909393310014</v>
      </c>
      <c r="J18" s="72">
        <f t="shared" si="7"/>
        <v>-0.4433908462524494</v>
      </c>
      <c r="K18" s="27">
        <v>-1.8327903747558025</v>
      </c>
      <c r="L18" s="6">
        <v>-0.43358802795410156</v>
      </c>
      <c r="M18" s="72">
        <v>-0.13619136810299892</v>
      </c>
      <c r="N18" s="27">
        <v>-1.8327903747558025</v>
      </c>
      <c r="O18" s="6">
        <v>-0.43394088745110082</v>
      </c>
      <c r="P18" s="72">
        <v>-0.13650703430179867</v>
      </c>
      <c r="Q18" s="27">
        <f t="shared" si="8"/>
        <v>-1.8327903747558025</v>
      </c>
      <c r="R18" s="6">
        <f t="shared" si="1"/>
        <v>-0.43376445770260119</v>
      </c>
      <c r="S18" s="72">
        <f t="shared" si="2"/>
        <v>-0.1363492012023988</v>
      </c>
      <c r="T18" s="6">
        <v>-0.38790893554680395</v>
      </c>
      <c r="U18" s="6">
        <v>-0.4074668884277024</v>
      </c>
      <c r="V18" s="6">
        <v>-0.31706142425539952</v>
      </c>
      <c r="W18" s="6">
        <v>-0.47261428832999997</v>
      </c>
      <c r="X18" s="6">
        <v>-0.54578590393060011</v>
      </c>
      <c r="Y18" s="72">
        <v>-0.42510509490969994</v>
      </c>
      <c r="Z18" s="27">
        <f t="shared" si="9"/>
        <v>-0.43026161193840196</v>
      </c>
      <c r="AA18" s="6">
        <f t="shared" si="3"/>
        <v>-0.47662639617915126</v>
      </c>
      <c r="AB18" s="72">
        <f t="shared" si="4"/>
        <v>-0.37108325958254973</v>
      </c>
    </row>
    <row r="19" spans="1:28" x14ac:dyDescent="0.45">
      <c r="A19" s="29">
        <v>16</v>
      </c>
      <c r="B19" s="27">
        <v>-1.3230705261230042</v>
      </c>
      <c r="C19" s="6">
        <v>-0.70137405395509944</v>
      </c>
      <c r="D19" s="72">
        <v>-0.44029617309569957</v>
      </c>
      <c r="E19" s="27">
        <v>-1.5657272338867045</v>
      </c>
      <c r="F19" s="6">
        <v>-0.83772277832030184</v>
      </c>
      <c r="G19" s="72">
        <v>-0.52401542663569955</v>
      </c>
      <c r="H19" s="27">
        <f t="shared" si="5"/>
        <v>-1.4443988800048544</v>
      </c>
      <c r="I19" s="6">
        <f t="shared" si="6"/>
        <v>-0.76954841613770064</v>
      </c>
      <c r="J19" s="72">
        <f t="shared" si="7"/>
        <v>-0.48215579986569956</v>
      </c>
      <c r="K19" s="27">
        <v>-1.8348579406737997</v>
      </c>
      <c r="L19" s="6">
        <v>-0.4335079193116016</v>
      </c>
      <c r="M19" s="72">
        <v>-0.13632774353030008</v>
      </c>
      <c r="N19" s="27">
        <v>-1.8348617553711009</v>
      </c>
      <c r="O19" s="6">
        <v>-0.43349838256840201</v>
      </c>
      <c r="P19" s="72">
        <v>-0.13631534576409976</v>
      </c>
      <c r="Q19" s="27">
        <f t="shared" si="8"/>
        <v>-1.8348598480224503</v>
      </c>
      <c r="R19" s="6">
        <f t="shared" si="1"/>
        <v>-0.4335031509400018</v>
      </c>
      <c r="S19" s="72">
        <f t="shared" si="2"/>
        <v>-0.13632154464719992</v>
      </c>
      <c r="T19" s="6">
        <v>-0.42887496948240056</v>
      </c>
      <c r="U19" s="6">
        <v>-0.47091865539550071</v>
      </c>
      <c r="V19" s="6">
        <v>-0.36686611175539952</v>
      </c>
      <c r="W19" s="6">
        <v>-0.48170471191400566</v>
      </c>
      <c r="X19" s="6">
        <v>-0.55723953247069957</v>
      </c>
      <c r="Y19" s="72">
        <v>-0.43437862396240057</v>
      </c>
      <c r="Z19" s="27">
        <f t="shared" si="9"/>
        <v>-0.45528984069820311</v>
      </c>
      <c r="AA19" s="6">
        <f t="shared" si="3"/>
        <v>-0.51407909393310014</v>
      </c>
      <c r="AB19" s="72">
        <f t="shared" si="4"/>
        <v>-0.40062236785890004</v>
      </c>
    </row>
    <row r="20" spans="1:28" x14ac:dyDescent="0.45">
      <c r="A20" s="29">
        <v>17</v>
      </c>
      <c r="B20" s="27">
        <v>-1.5571975708008026</v>
      </c>
      <c r="C20" s="6">
        <v>-0.81657218933110087</v>
      </c>
      <c r="D20" s="72">
        <v>-0.5078907012939986</v>
      </c>
      <c r="E20" s="27">
        <v>-1.6644897460937997</v>
      </c>
      <c r="F20" s="6">
        <v>-0.87687683105470171</v>
      </c>
      <c r="G20" s="72">
        <v>-0.5449457168578995</v>
      </c>
      <c r="H20" s="27">
        <f t="shared" si="5"/>
        <v>-1.6108436584473012</v>
      </c>
      <c r="I20" s="6">
        <f t="shared" si="6"/>
        <v>-0.84672451019290129</v>
      </c>
      <c r="J20" s="72">
        <f t="shared" si="7"/>
        <v>-0.52641820907594905</v>
      </c>
      <c r="K20" s="27">
        <v>-1.8353271484375</v>
      </c>
      <c r="L20" s="6">
        <v>-0.43215942382820316</v>
      </c>
      <c r="M20" s="72">
        <v>-0.13581752777099965</v>
      </c>
      <c r="N20" s="27">
        <v>-1.8353271484375</v>
      </c>
      <c r="O20" s="6">
        <v>-0.43215942382820316</v>
      </c>
      <c r="P20" s="72">
        <v>-0.13581752777099965</v>
      </c>
      <c r="Q20" s="27">
        <f t="shared" si="8"/>
        <v>-1.8353271484375</v>
      </c>
      <c r="R20" s="6">
        <f t="shared" si="1"/>
        <v>-0.43215942382820316</v>
      </c>
      <c r="S20" s="72">
        <f t="shared" si="2"/>
        <v>-0.13581752777099965</v>
      </c>
      <c r="T20" s="6">
        <v>-0.47434234619139914</v>
      </c>
      <c r="U20" s="6">
        <v>-0.53692245483400214</v>
      </c>
      <c r="V20" s="6">
        <v>-0.41867733001709873</v>
      </c>
      <c r="W20" s="6">
        <v>-0.50405883789059658</v>
      </c>
      <c r="X20" s="6">
        <v>-0.57670021057129972</v>
      </c>
      <c r="Y20" s="72">
        <v>-0.44906711578369851</v>
      </c>
      <c r="Z20" s="27">
        <f t="shared" si="9"/>
        <v>-0.48920059204099786</v>
      </c>
      <c r="AA20" s="6">
        <f t="shared" si="3"/>
        <v>-0.55681133270265093</v>
      </c>
      <c r="AB20" s="72">
        <f t="shared" si="4"/>
        <v>-0.43387222290039862</v>
      </c>
    </row>
    <row r="21" spans="1:28" x14ac:dyDescent="0.45">
      <c r="A21" s="29">
        <v>18</v>
      </c>
      <c r="B21" s="27">
        <v>-1.681369781494098</v>
      </c>
      <c r="C21" s="6">
        <v>-0.8794384002685014</v>
      </c>
      <c r="D21" s="72">
        <v>-0.54518413543700106</v>
      </c>
      <c r="E21" s="27">
        <v>-1.7047996520995952</v>
      </c>
      <c r="F21" s="6">
        <v>-0.89261245727540128</v>
      </c>
      <c r="G21" s="72">
        <v>-0.55327987670900036</v>
      </c>
      <c r="H21" s="27">
        <f t="shared" si="5"/>
        <v>-1.6930847167968466</v>
      </c>
      <c r="I21" s="6">
        <f t="shared" si="6"/>
        <v>-0.88602542877195134</v>
      </c>
      <c r="J21" s="72">
        <f t="shared" si="7"/>
        <v>-0.54923200607300071</v>
      </c>
      <c r="K21" s="27">
        <v>-1.8342971801757955</v>
      </c>
      <c r="L21" s="6">
        <v>-0.43130111694329898</v>
      </c>
      <c r="M21" s="72">
        <v>-0.13551521301270064</v>
      </c>
      <c r="N21" s="27">
        <v>-1.8342971801757955</v>
      </c>
      <c r="O21" s="6">
        <v>-0.43130111694329898</v>
      </c>
      <c r="P21" s="72">
        <v>-0.13551521301270064</v>
      </c>
      <c r="Q21" s="27">
        <f t="shared" si="8"/>
        <v>-1.8342971801757955</v>
      </c>
      <c r="R21" s="6">
        <f t="shared" si="1"/>
        <v>-0.43130111694329898</v>
      </c>
      <c r="S21" s="72">
        <f t="shared" si="2"/>
        <v>-0.13551521301270064</v>
      </c>
      <c r="T21" s="6">
        <v>-0.52376937866209516</v>
      </c>
      <c r="U21" s="6">
        <v>-0.580152511596701</v>
      </c>
      <c r="V21" s="6">
        <v>-0.44965076446530006</v>
      </c>
      <c r="W21" s="6">
        <v>-0.53024291992189632</v>
      </c>
      <c r="X21" s="6">
        <v>-0.58883094787600143</v>
      </c>
      <c r="Y21" s="72">
        <v>-0.45628929138180041</v>
      </c>
      <c r="Z21" s="27">
        <f t="shared" si="9"/>
        <v>-0.52700614929199574</v>
      </c>
      <c r="AA21" s="6">
        <f t="shared" si="3"/>
        <v>-0.58449172973635122</v>
      </c>
      <c r="AB21" s="72">
        <f t="shared" si="4"/>
        <v>-0.45297002792355023</v>
      </c>
    </row>
    <row r="22" spans="1:28" x14ac:dyDescent="0.45">
      <c r="A22" s="29">
        <v>19</v>
      </c>
      <c r="B22" s="27">
        <v>-1.6913566589355966</v>
      </c>
      <c r="C22" s="6">
        <v>-0.88708877563470168</v>
      </c>
      <c r="D22" s="72">
        <v>-0.55027580261230113</v>
      </c>
      <c r="E22" s="27">
        <v>-1.6930274963378977</v>
      </c>
      <c r="F22" s="6">
        <v>-0.88802719116209872</v>
      </c>
      <c r="G22" s="72">
        <v>-0.55085182189939985</v>
      </c>
      <c r="H22" s="27">
        <f t="shared" si="5"/>
        <v>-1.6921920776367472</v>
      </c>
      <c r="I22" s="6">
        <f t="shared" si="6"/>
        <v>-0.8875579833984002</v>
      </c>
      <c r="J22" s="72">
        <f t="shared" si="7"/>
        <v>-0.55056381225585049</v>
      </c>
      <c r="K22" s="27">
        <v>-1.8346672058105966</v>
      </c>
      <c r="L22" s="6">
        <v>-0.43157196044920099</v>
      </c>
      <c r="M22" s="72">
        <v>-0.13560867309570135</v>
      </c>
      <c r="N22" s="27">
        <v>-1.8346672058105966</v>
      </c>
      <c r="O22" s="6">
        <v>-0.43157196044920099</v>
      </c>
      <c r="P22" s="72">
        <v>-0.13560867309570135</v>
      </c>
      <c r="Q22" s="27">
        <f t="shared" si="8"/>
        <v>-1.8346672058105966</v>
      </c>
      <c r="R22" s="6">
        <f t="shared" si="1"/>
        <v>-0.43157196044920099</v>
      </c>
      <c r="S22" s="72">
        <f t="shared" si="2"/>
        <v>-0.13560867309570135</v>
      </c>
      <c r="T22" s="6">
        <v>-0.5221214294433949</v>
      </c>
      <c r="U22" s="6">
        <v>-0.58467674255370028</v>
      </c>
      <c r="V22" s="6">
        <v>-0.45371341705320134</v>
      </c>
      <c r="W22" s="6">
        <v>-0.52257919311529832</v>
      </c>
      <c r="X22" s="6">
        <v>-0.58529663085930039</v>
      </c>
      <c r="Y22" s="72">
        <v>-0.45418357849120028</v>
      </c>
      <c r="Z22" s="27">
        <f t="shared" si="9"/>
        <v>-0.52235031127934661</v>
      </c>
      <c r="AA22" s="6">
        <f t="shared" si="3"/>
        <v>-0.58498668670650034</v>
      </c>
      <c r="AB22" s="72">
        <f t="shared" si="4"/>
        <v>-0.45394849777220081</v>
      </c>
    </row>
    <row r="23" spans="1:28" x14ac:dyDescent="0.45">
      <c r="A23" s="29">
        <v>20</v>
      </c>
      <c r="B23" s="27">
        <v>-1.6556129455566051</v>
      </c>
      <c r="C23" s="6">
        <v>-0.87340164184570313</v>
      </c>
      <c r="D23" s="72">
        <v>-0.54310035705560011</v>
      </c>
      <c r="E23" s="27">
        <v>-1.6556129455566051</v>
      </c>
      <c r="F23" s="6">
        <v>-0.87340164184570313</v>
      </c>
      <c r="G23" s="72">
        <v>-0.54310035705560011</v>
      </c>
      <c r="H23" s="27">
        <f t="shared" si="5"/>
        <v>-1.6556129455566051</v>
      </c>
      <c r="I23" s="6">
        <f t="shared" si="6"/>
        <v>-0.87340164184570313</v>
      </c>
      <c r="J23" s="72">
        <f t="shared" si="7"/>
        <v>-0.54310035705560011</v>
      </c>
      <c r="K23" s="27">
        <v>-1.8354644775389986</v>
      </c>
      <c r="L23" s="6">
        <v>-0.432325363159201</v>
      </c>
      <c r="M23" s="72">
        <v>-0.13587760925289949</v>
      </c>
      <c r="N23" s="27">
        <v>-1.8354644775389986</v>
      </c>
      <c r="O23" s="6">
        <v>-0.432325363159201</v>
      </c>
      <c r="P23" s="72">
        <v>-0.13587760925289949</v>
      </c>
      <c r="Q23" s="27">
        <f t="shared" si="8"/>
        <v>-1.8354644775389986</v>
      </c>
      <c r="R23" s="6">
        <f t="shared" si="1"/>
        <v>-0.432325363159201</v>
      </c>
      <c r="S23" s="72">
        <f t="shared" si="2"/>
        <v>-0.13587760925289949</v>
      </c>
      <c r="T23" s="6">
        <v>-0.49831390380860086</v>
      </c>
      <c r="U23" s="6">
        <v>-0.57402038574220171</v>
      </c>
      <c r="V23" s="6">
        <v>-0.44746685028069955</v>
      </c>
      <c r="W23" s="6">
        <v>-0.49831390380860086</v>
      </c>
      <c r="X23" s="6">
        <v>-0.57402038574220171</v>
      </c>
      <c r="Y23" s="72">
        <v>-0.44746685028069955</v>
      </c>
      <c r="Z23" s="27">
        <f t="shared" si="9"/>
        <v>-0.49831390380860086</v>
      </c>
      <c r="AA23" s="6">
        <f t="shared" si="3"/>
        <v>-0.57402038574220171</v>
      </c>
      <c r="AB23" s="72">
        <f t="shared" si="4"/>
        <v>-0.44746685028069955</v>
      </c>
    </row>
    <row r="24" spans="1:28" x14ac:dyDescent="0.45">
      <c r="A24" s="29">
        <v>21</v>
      </c>
      <c r="B24" s="27">
        <v>-1.5759353637695028</v>
      </c>
      <c r="C24" s="6">
        <v>-0.84202575683600145</v>
      </c>
      <c r="D24" s="72">
        <v>-0.5263910293578995</v>
      </c>
      <c r="E24" s="27">
        <v>-1.5759353637695028</v>
      </c>
      <c r="F24" s="6">
        <v>-0.84202575683600145</v>
      </c>
      <c r="G24" s="72">
        <v>-0.5263910293578995</v>
      </c>
      <c r="H24" s="27">
        <f t="shared" si="5"/>
        <v>-1.5759353637695028</v>
      </c>
      <c r="I24" s="6">
        <f t="shared" si="6"/>
        <v>-0.84202575683600145</v>
      </c>
      <c r="J24" s="72">
        <f t="shared" si="7"/>
        <v>-0.5263910293578995</v>
      </c>
      <c r="K24" s="27">
        <v>-1.8350791931151988</v>
      </c>
      <c r="L24" s="6">
        <v>-0.43342208862310017</v>
      </c>
      <c r="M24" s="72">
        <v>-0.13628768920900036</v>
      </c>
      <c r="N24" s="27">
        <v>-1.8350791931151988</v>
      </c>
      <c r="O24" s="6">
        <v>-0.43342208862310017</v>
      </c>
      <c r="P24" s="72">
        <v>-0.13628768920900036</v>
      </c>
      <c r="Q24" s="27">
        <f t="shared" si="8"/>
        <v>-1.8350791931151988</v>
      </c>
      <c r="R24" s="6">
        <f t="shared" si="1"/>
        <v>-0.43342208862310017</v>
      </c>
      <c r="S24" s="72">
        <f t="shared" si="2"/>
        <v>-0.13628768920900036</v>
      </c>
      <c r="T24" s="6">
        <v>-0.48332595825190339</v>
      </c>
      <c r="U24" s="6">
        <v>-0.55932426452639916</v>
      </c>
      <c r="V24" s="6">
        <v>-0.43604564666750001</v>
      </c>
      <c r="W24" s="6">
        <v>-0.48332595825190339</v>
      </c>
      <c r="X24" s="6">
        <v>-0.55932426452639916</v>
      </c>
      <c r="Y24" s="72">
        <v>-0.43604564666750001</v>
      </c>
      <c r="Z24" s="27">
        <f t="shared" si="9"/>
        <v>-0.48332595825190339</v>
      </c>
      <c r="AA24" s="6">
        <f t="shared" si="3"/>
        <v>-0.55932426452639916</v>
      </c>
      <c r="AB24" s="72">
        <f t="shared" si="4"/>
        <v>-0.43604564666750001</v>
      </c>
    </row>
    <row r="25" spans="1:28" x14ac:dyDescent="0.45">
      <c r="A25" s="29">
        <v>22</v>
      </c>
      <c r="B25" s="27">
        <v>-1.4215011596679972</v>
      </c>
      <c r="C25" s="6">
        <v>-0.78023910522459872</v>
      </c>
      <c r="D25" s="72">
        <v>-0.49312973022460049</v>
      </c>
      <c r="E25" s="27">
        <v>-1.4215011596679972</v>
      </c>
      <c r="F25" s="6">
        <v>-0.78023910522459872</v>
      </c>
      <c r="G25" s="72">
        <v>-0.49312973022460049</v>
      </c>
      <c r="H25" s="27">
        <f t="shared" si="5"/>
        <v>-1.4215011596679972</v>
      </c>
      <c r="I25" s="6">
        <f t="shared" si="6"/>
        <v>-0.78023910522459872</v>
      </c>
      <c r="J25" s="72">
        <f t="shared" si="7"/>
        <v>-0.49312973022460049</v>
      </c>
      <c r="K25" s="27">
        <v>-1.8260002136230966</v>
      </c>
      <c r="L25" s="6">
        <v>-0.433546066284201</v>
      </c>
      <c r="M25" s="72">
        <v>-0.13645267486569956</v>
      </c>
      <c r="N25" s="27">
        <v>-1.8260002136230966</v>
      </c>
      <c r="O25" s="6">
        <v>-0.433546066284201</v>
      </c>
      <c r="P25" s="72">
        <v>-0.13645267486569956</v>
      </c>
      <c r="Q25" s="27">
        <f t="shared" si="8"/>
        <v>-1.8260002136230966</v>
      </c>
      <c r="R25" s="6">
        <f t="shared" si="1"/>
        <v>-0.433546066284201</v>
      </c>
      <c r="S25" s="72">
        <f t="shared" si="2"/>
        <v>-0.13645267486569956</v>
      </c>
      <c r="T25" s="6">
        <v>-0.46015930175779829</v>
      </c>
      <c r="U25" s="6">
        <v>-0.53142929077149859</v>
      </c>
      <c r="V25" s="6">
        <v>-0.41356849670409979</v>
      </c>
      <c r="W25" s="6">
        <v>-0.46015930175779829</v>
      </c>
      <c r="X25" s="6">
        <v>-0.53142929077149859</v>
      </c>
      <c r="Y25" s="72">
        <v>-0.41356849670409979</v>
      </c>
      <c r="Z25" s="27">
        <f t="shared" si="9"/>
        <v>-0.46015930175779829</v>
      </c>
      <c r="AA25" s="6">
        <f t="shared" si="3"/>
        <v>-0.53142929077149859</v>
      </c>
      <c r="AB25" s="72">
        <f t="shared" si="4"/>
        <v>-0.41356849670409979</v>
      </c>
    </row>
    <row r="26" spans="1:28" x14ac:dyDescent="0.45">
      <c r="A26" s="29">
        <v>23</v>
      </c>
      <c r="B26" s="27">
        <v>-1.2431526184082031</v>
      </c>
      <c r="C26" s="6">
        <v>-0.70721435546870026</v>
      </c>
      <c r="D26" s="72">
        <v>-0.45324611663819958</v>
      </c>
      <c r="E26" s="27">
        <v>-1.2431526184082031</v>
      </c>
      <c r="F26" s="6">
        <v>-0.70721435546870026</v>
      </c>
      <c r="G26" s="72">
        <v>-0.45324611663819958</v>
      </c>
      <c r="H26" s="27">
        <f t="shared" si="5"/>
        <v>-1.2431526184082031</v>
      </c>
      <c r="I26" s="6">
        <f t="shared" si="6"/>
        <v>-0.70721435546870026</v>
      </c>
      <c r="J26" s="72">
        <f t="shared" si="7"/>
        <v>-0.45324611663819958</v>
      </c>
      <c r="K26" s="27">
        <v>-1.7988166809082031</v>
      </c>
      <c r="L26" s="6">
        <v>-0.42957115173339844</v>
      </c>
      <c r="M26" s="72">
        <v>-0.13535022735590019</v>
      </c>
      <c r="N26" s="27">
        <v>-1.7988166809082031</v>
      </c>
      <c r="O26" s="6">
        <v>-0.42957115173339844</v>
      </c>
      <c r="P26" s="72">
        <v>-0.13535022735590019</v>
      </c>
      <c r="Q26" s="27">
        <f t="shared" si="8"/>
        <v>-1.7988166809082031</v>
      </c>
      <c r="R26" s="6">
        <f t="shared" si="1"/>
        <v>-0.42957115173339844</v>
      </c>
      <c r="S26" s="72">
        <f t="shared" si="2"/>
        <v>-0.13535022735590019</v>
      </c>
      <c r="T26" s="6">
        <v>-0.43095016479490056</v>
      </c>
      <c r="U26" s="6">
        <v>-0.49702835083009944</v>
      </c>
      <c r="V26" s="6">
        <v>-0.38604259490960047</v>
      </c>
      <c r="W26" s="6">
        <v>-0.43095016479490056</v>
      </c>
      <c r="X26" s="6">
        <v>-0.49702835083009944</v>
      </c>
      <c r="Y26" s="72">
        <v>-0.38604259490960047</v>
      </c>
      <c r="Z26" s="27">
        <f t="shared" si="9"/>
        <v>-0.43095016479490056</v>
      </c>
      <c r="AA26" s="6">
        <f t="shared" si="3"/>
        <v>-0.49702835083009944</v>
      </c>
      <c r="AB26" s="72">
        <f t="shared" si="4"/>
        <v>-0.38604259490960047</v>
      </c>
    </row>
    <row r="27" spans="1:28" ht="14.65" thickBot="1" x14ac:dyDescent="0.5">
      <c r="A27" s="32">
        <v>24</v>
      </c>
      <c r="B27" s="74">
        <v>-1.1399803161621023</v>
      </c>
      <c r="C27" s="24">
        <v>-0.65792274475100143</v>
      </c>
      <c r="D27" s="73">
        <v>-0.42360687255860086</v>
      </c>
      <c r="E27" s="74">
        <v>-1.1399803161621023</v>
      </c>
      <c r="F27" s="24">
        <v>-0.65792274475100143</v>
      </c>
      <c r="G27" s="73">
        <v>-0.42360687255860086</v>
      </c>
      <c r="H27" s="74">
        <f t="shared" si="5"/>
        <v>-1.1399803161621023</v>
      </c>
      <c r="I27" s="24">
        <f t="shared" si="6"/>
        <v>-0.65792274475100143</v>
      </c>
      <c r="J27" s="73">
        <f t="shared" si="7"/>
        <v>-0.42360687255860086</v>
      </c>
      <c r="K27" s="74">
        <v>-1.7634506225586009</v>
      </c>
      <c r="L27" s="24">
        <v>-0.42301177978520244</v>
      </c>
      <c r="M27" s="73">
        <v>-0.13340950012200103</v>
      </c>
      <c r="N27" s="74">
        <v>-1.7634506225586009</v>
      </c>
      <c r="O27" s="24">
        <v>-0.42301177978520244</v>
      </c>
      <c r="P27" s="73">
        <v>-0.13340950012200103</v>
      </c>
      <c r="Q27" s="74">
        <f t="shared" si="8"/>
        <v>-1.7634506225586009</v>
      </c>
      <c r="R27" s="24">
        <f t="shared" si="1"/>
        <v>-0.42301177978520244</v>
      </c>
      <c r="S27" s="73">
        <f t="shared" si="2"/>
        <v>-0.13340950012200103</v>
      </c>
      <c r="T27" s="24">
        <v>-0.40618896484370026</v>
      </c>
      <c r="U27" s="24">
        <v>-0.46785163879400216</v>
      </c>
      <c r="V27" s="24">
        <v>-0.36276912689200103</v>
      </c>
      <c r="W27" s="24">
        <v>-0.40618896484370026</v>
      </c>
      <c r="X27" s="24">
        <v>-0.46785163879400216</v>
      </c>
      <c r="Y27" s="73">
        <v>-0.36276912689200103</v>
      </c>
      <c r="Z27" s="74">
        <f t="shared" si="9"/>
        <v>-0.40618896484370026</v>
      </c>
      <c r="AA27" s="24">
        <f t="shared" si="3"/>
        <v>-0.46785163879400216</v>
      </c>
      <c r="AB27" s="73">
        <f t="shared" si="4"/>
        <v>-0.36276912689200103</v>
      </c>
    </row>
  </sheetData>
  <mergeCells count="13">
    <mergeCell ref="A1:A2"/>
    <mergeCell ref="H2:J2"/>
    <mergeCell ref="Q2:S2"/>
    <mergeCell ref="Z2:AB2"/>
    <mergeCell ref="H1:J1"/>
    <mergeCell ref="B2:D2"/>
    <mergeCell ref="B1:D1"/>
    <mergeCell ref="E1:G1"/>
    <mergeCell ref="E2:G2"/>
    <mergeCell ref="K2:M2"/>
    <mergeCell ref="N2:P2"/>
    <mergeCell ref="T2:V2"/>
    <mergeCell ref="W2:Y2"/>
  </mergeCells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30BB-0F5E-4556-9467-FEB77EA04B31}">
  <dimension ref="A1:AF33"/>
  <sheetViews>
    <sheetView zoomScale="85" zoomScaleNormal="85" workbookViewId="0">
      <selection activeCell="I37" sqref="I37"/>
    </sheetView>
  </sheetViews>
  <sheetFormatPr defaultColWidth="9.06640625" defaultRowHeight="14.25" x14ac:dyDescent="0.45"/>
  <cols>
    <col min="1" max="1" width="9.06640625" style="1"/>
    <col min="2" max="25" width="11.06640625" style="2" customWidth="1"/>
    <col min="26" max="28" width="11.06640625" style="6" customWidth="1"/>
  </cols>
  <sheetData>
    <row r="1" spans="1:31" ht="14.65" thickBot="1" x14ac:dyDescent="0.5">
      <c r="A1" s="135" t="s">
        <v>40</v>
      </c>
      <c r="B1" s="174" t="s">
        <v>43</v>
      </c>
      <c r="C1" s="175"/>
      <c r="D1" s="176"/>
      <c r="E1" s="174" t="s">
        <v>44</v>
      </c>
      <c r="F1" s="175"/>
      <c r="G1" s="176"/>
      <c r="H1" s="174" t="s">
        <v>45</v>
      </c>
      <c r="I1" s="175"/>
      <c r="J1" s="176"/>
      <c r="K1" s="92"/>
      <c r="L1" s="93" t="s">
        <v>34</v>
      </c>
      <c r="M1" s="94"/>
      <c r="N1" s="92"/>
      <c r="O1" s="93" t="s">
        <v>33</v>
      </c>
      <c r="P1" s="94"/>
      <c r="Q1" s="92"/>
      <c r="R1" s="93" t="s">
        <v>41</v>
      </c>
      <c r="S1" s="94"/>
      <c r="T1" s="95"/>
      <c r="U1" s="96" t="s">
        <v>35</v>
      </c>
      <c r="V1" s="97"/>
      <c r="W1" s="96"/>
      <c r="X1" s="96" t="s">
        <v>39</v>
      </c>
      <c r="Y1" s="97"/>
      <c r="Z1" s="91"/>
      <c r="AA1" s="82" t="s">
        <v>42</v>
      </c>
      <c r="AB1" s="83"/>
      <c r="AC1" s="165" t="s">
        <v>55</v>
      </c>
      <c r="AD1" s="166"/>
      <c r="AE1" s="167"/>
    </row>
    <row r="2" spans="1:31" ht="14.65" thickBot="1" x14ac:dyDescent="0.5">
      <c r="A2" s="137"/>
      <c r="B2" s="168" t="s">
        <v>1</v>
      </c>
      <c r="C2" s="169"/>
      <c r="D2" s="170"/>
      <c r="E2" s="168" t="s">
        <v>1</v>
      </c>
      <c r="F2" s="169"/>
      <c r="G2" s="170"/>
      <c r="H2" s="171" t="s">
        <v>1</v>
      </c>
      <c r="I2" s="172"/>
      <c r="J2" s="173"/>
      <c r="K2" s="168" t="s">
        <v>1</v>
      </c>
      <c r="L2" s="169"/>
      <c r="M2" s="170"/>
      <c r="N2" s="168" t="s">
        <v>1</v>
      </c>
      <c r="O2" s="169"/>
      <c r="P2" s="170"/>
      <c r="Q2" s="171" t="s">
        <v>1</v>
      </c>
      <c r="R2" s="172"/>
      <c r="S2" s="173"/>
      <c r="T2" s="168" t="s">
        <v>1</v>
      </c>
      <c r="U2" s="169"/>
      <c r="V2" s="170"/>
      <c r="W2" s="169" t="s">
        <v>1</v>
      </c>
      <c r="X2" s="169"/>
      <c r="Y2" s="170"/>
      <c r="Z2" s="159" t="s">
        <v>1</v>
      </c>
      <c r="AA2" s="160"/>
      <c r="AB2" s="161"/>
      <c r="AC2" s="159" t="s">
        <v>1</v>
      </c>
      <c r="AD2" s="160"/>
      <c r="AE2" s="161"/>
    </row>
    <row r="3" spans="1:31" x14ac:dyDescent="0.45">
      <c r="A3" s="29" t="s">
        <v>32</v>
      </c>
      <c r="B3" s="99" t="s">
        <v>36</v>
      </c>
      <c r="C3" s="9" t="s">
        <v>37</v>
      </c>
      <c r="D3" s="31" t="s">
        <v>38</v>
      </c>
      <c r="E3" s="99" t="s">
        <v>36</v>
      </c>
      <c r="F3" s="9" t="s">
        <v>37</v>
      </c>
      <c r="G3" s="31" t="s">
        <v>38</v>
      </c>
      <c r="H3" s="100" t="s">
        <v>36</v>
      </c>
      <c r="I3" s="70" t="s">
        <v>37</v>
      </c>
      <c r="J3" s="39" t="s">
        <v>38</v>
      </c>
      <c r="K3" s="99" t="s">
        <v>36</v>
      </c>
      <c r="L3" s="9" t="s">
        <v>37</v>
      </c>
      <c r="M3" s="31" t="s">
        <v>38</v>
      </c>
      <c r="N3" s="99" t="s">
        <v>36</v>
      </c>
      <c r="O3" s="9" t="s">
        <v>37</v>
      </c>
      <c r="P3" s="31" t="s">
        <v>38</v>
      </c>
      <c r="Q3" s="100" t="s">
        <v>36</v>
      </c>
      <c r="R3" s="70" t="s">
        <v>37</v>
      </c>
      <c r="S3" s="39" t="s">
        <v>38</v>
      </c>
      <c r="T3" s="99" t="s">
        <v>36</v>
      </c>
      <c r="U3" s="9" t="s">
        <v>37</v>
      </c>
      <c r="V3" s="31" t="s">
        <v>38</v>
      </c>
      <c r="W3" s="9" t="s">
        <v>36</v>
      </c>
      <c r="X3" s="9" t="s">
        <v>37</v>
      </c>
      <c r="Y3" s="31" t="s">
        <v>38</v>
      </c>
      <c r="Z3" s="75" t="s">
        <v>36</v>
      </c>
      <c r="AA3" s="47" t="s">
        <v>37</v>
      </c>
      <c r="AB3" s="76" t="s">
        <v>38</v>
      </c>
      <c r="AC3" s="75" t="s">
        <v>36</v>
      </c>
      <c r="AD3" s="47" t="s">
        <v>37</v>
      </c>
      <c r="AE3" s="76" t="s">
        <v>38</v>
      </c>
    </row>
    <row r="4" spans="1:31" x14ac:dyDescent="0.45">
      <c r="A4" s="29">
        <v>1</v>
      </c>
      <c r="B4" s="99">
        <v>-2.961549134557306E-2</v>
      </c>
      <c r="C4" s="9">
        <v>-2.7708265529564402E-2</v>
      </c>
      <c r="D4" s="31">
        <v>-3.5293576025838679E-2</v>
      </c>
      <c r="E4" s="99">
        <v>-2.961549134557306E-2</v>
      </c>
      <c r="F4" s="9">
        <v>-2.7708265529564402E-2</v>
      </c>
      <c r="G4" s="31">
        <v>-3.5293576025838679E-2</v>
      </c>
      <c r="H4" s="99">
        <f>AVERAGE(B4,E4)</f>
        <v>-2.961549134557306E-2</v>
      </c>
      <c r="I4" s="9">
        <f t="shared" ref="I4:J4" si="0">AVERAGE(C4,F4)</f>
        <v>-2.7708265529564402E-2</v>
      </c>
      <c r="J4" s="31">
        <f t="shared" si="0"/>
        <v>-3.5293576025838679E-2</v>
      </c>
      <c r="K4" s="99">
        <v>-4.7015567324102163E-2</v>
      </c>
      <c r="L4" s="9">
        <v>-1.8307269312720059E-2</v>
      </c>
      <c r="M4" s="31">
        <v>-1.1415965246851612E-2</v>
      </c>
      <c r="N4" s="99">
        <v>-4.7015567324102163E-2</v>
      </c>
      <c r="O4" s="9">
        <v>-1.8307269312720059E-2</v>
      </c>
      <c r="P4" s="31">
        <v>-1.1415965246851612E-2</v>
      </c>
      <c r="Q4" s="99">
        <f>AVERAGE(K4,N4)</f>
        <v>-4.7015567324102163E-2</v>
      </c>
      <c r="R4" s="9">
        <f t="shared" ref="R4:R27" si="1">AVERAGE(L4,O4)</f>
        <v>-1.8307269312720059E-2</v>
      </c>
      <c r="S4" s="31">
        <f t="shared" ref="S4:S27" si="2">AVERAGE(M4,P4)</f>
        <v>-1.1415965246851612E-2</v>
      </c>
      <c r="T4" s="99">
        <v>-1.056790381900192E-2</v>
      </c>
      <c r="U4" s="9">
        <v>-1.9705800628591195E-2</v>
      </c>
      <c r="V4" s="31">
        <v>-3.021722377940244E-2</v>
      </c>
      <c r="W4" s="9">
        <v>-1.056790381900192E-2</v>
      </c>
      <c r="X4" s="9">
        <v>-1.9705800628591195E-2</v>
      </c>
      <c r="Y4" s="31">
        <v>-3.021722377940244E-2</v>
      </c>
      <c r="Z4" s="99">
        <f>AVERAGE(T4,W4)</f>
        <v>-1.056790381900192E-2</v>
      </c>
      <c r="AA4" s="9">
        <f t="shared" ref="AA4:AA27" si="3">AVERAGE(U4,X4)</f>
        <v>-1.9705800628591195E-2</v>
      </c>
      <c r="AB4" s="31">
        <f t="shared" ref="AB4:AB27" si="4">AVERAGE(V4,Y4)</f>
        <v>-3.021722377940244E-2</v>
      </c>
      <c r="AC4" s="101">
        <f>AVERAGE(H4,Q4,Z4)</f>
        <v>-2.906632082955905E-2</v>
      </c>
      <c r="AD4" s="90">
        <f t="shared" ref="AD4:AE4" si="5">AVERAGE(I4,R4,AA4)</f>
        <v>-2.190711182362522E-2</v>
      </c>
      <c r="AE4" s="102">
        <f t="shared" si="5"/>
        <v>-2.5642255017364241E-2</v>
      </c>
    </row>
    <row r="5" spans="1:31" x14ac:dyDescent="0.45">
      <c r="A5" s="29">
        <v>2</v>
      </c>
      <c r="B5" s="99">
        <v>-2.9585959008677967E-2</v>
      </c>
      <c r="C5" s="9">
        <v>-2.7696407198761375E-2</v>
      </c>
      <c r="D5" s="31">
        <v>-3.5266433857780152E-2</v>
      </c>
      <c r="E5" s="99">
        <v>-2.9585959008677967E-2</v>
      </c>
      <c r="F5" s="9">
        <v>-2.7696407198761375E-2</v>
      </c>
      <c r="G5" s="31">
        <v>-3.5266433857780152E-2</v>
      </c>
      <c r="H5" s="99">
        <f t="shared" ref="H5:H27" si="6">AVERAGE(B5,E5)</f>
        <v>-2.9585959008677967E-2</v>
      </c>
      <c r="I5" s="9">
        <f t="shared" ref="I5:I27" si="7">AVERAGE(C5,F5)</f>
        <v>-2.7696407198761375E-2</v>
      </c>
      <c r="J5" s="31">
        <f t="shared" ref="J5:J27" si="8">AVERAGE(D5,G5)</f>
        <v>-3.5266433857780152E-2</v>
      </c>
      <c r="K5" s="99">
        <v>-4.7690113475038411E-2</v>
      </c>
      <c r="L5" s="9">
        <v>-1.8610608055191019E-2</v>
      </c>
      <c r="M5" s="31">
        <v>-1.1622137773444802E-2</v>
      </c>
      <c r="N5" s="99">
        <v>-4.7690113475038411E-2</v>
      </c>
      <c r="O5" s="9">
        <v>-1.8610608055191019E-2</v>
      </c>
      <c r="P5" s="31">
        <v>-1.1622137773444802E-2</v>
      </c>
      <c r="Q5" s="99">
        <f t="shared" ref="Q5:Q27" si="9">AVERAGE(K5,N5)</f>
        <v>-4.7690113475038411E-2</v>
      </c>
      <c r="R5" s="9">
        <f t="shared" si="1"/>
        <v>-1.8610608055191019E-2</v>
      </c>
      <c r="S5" s="31">
        <f t="shared" si="2"/>
        <v>-1.1622137773444802E-2</v>
      </c>
      <c r="T5" s="99">
        <v>-1.0553272031360162E-2</v>
      </c>
      <c r="U5" s="9">
        <v>-1.9695316555371434E-2</v>
      </c>
      <c r="V5" s="31">
        <v>-3.0187160737157721E-2</v>
      </c>
      <c r="W5" s="9">
        <v>-1.0553272031360162E-2</v>
      </c>
      <c r="X5" s="9">
        <v>-1.9695316555371434E-2</v>
      </c>
      <c r="Y5" s="31">
        <v>-3.0187160737157721E-2</v>
      </c>
      <c r="Z5" s="99">
        <f t="shared" ref="Z5:Z27" si="10">AVERAGE(T5,W5)</f>
        <v>-1.0553272031360162E-2</v>
      </c>
      <c r="AA5" s="9">
        <f t="shared" si="3"/>
        <v>-1.9695316555371434E-2</v>
      </c>
      <c r="AB5" s="31">
        <f t="shared" si="4"/>
        <v>-3.0187160737157721E-2</v>
      </c>
      <c r="AC5" s="101">
        <f t="shared" ref="AC5:AC27" si="11">AVERAGE(H5,Q5,Z5)</f>
        <v>-2.9276448171692181E-2</v>
      </c>
      <c r="AD5" s="90">
        <f t="shared" ref="AD5:AD27" si="12">AVERAGE(I5,R5,AA5)</f>
        <v>-2.2000777269774608E-2</v>
      </c>
      <c r="AE5" s="102">
        <f t="shared" ref="AE5:AE27" si="13">AVERAGE(J5,S5,AB5)</f>
        <v>-2.5691910789460887E-2</v>
      </c>
    </row>
    <row r="6" spans="1:31" x14ac:dyDescent="0.45">
      <c r="A6" s="29">
        <v>3</v>
      </c>
      <c r="B6" s="99">
        <v>-2.9471533656442613E-2</v>
      </c>
      <c r="C6" s="9">
        <v>-2.7649533861369983E-2</v>
      </c>
      <c r="D6" s="31">
        <v>-3.5226505236192709E-2</v>
      </c>
      <c r="E6" s="99">
        <v>-2.9471533656442613E-2</v>
      </c>
      <c r="F6" s="9">
        <v>-2.7649533861369983E-2</v>
      </c>
      <c r="G6" s="31">
        <v>-3.5226505236192709E-2</v>
      </c>
      <c r="H6" s="99">
        <f t="shared" si="6"/>
        <v>-2.9471533656442613E-2</v>
      </c>
      <c r="I6" s="9">
        <f t="shared" si="7"/>
        <v>-2.7649533861369983E-2</v>
      </c>
      <c r="J6" s="31">
        <f t="shared" si="8"/>
        <v>-3.5226505236192709E-2</v>
      </c>
      <c r="K6" s="99">
        <v>-4.795940322770708E-2</v>
      </c>
      <c r="L6" s="9">
        <v>-1.8729081984219798E-2</v>
      </c>
      <c r="M6" s="31">
        <v>-1.1698991474298088E-2</v>
      </c>
      <c r="N6" s="99">
        <v>-4.795940322770708E-2</v>
      </c>
      <c r="O6" s="9">
        <v>-1.8729081984219798E-2</v>
      </c>
      <c r="P6" s="31">
        <v>-1.1698991474298088E-2</v>
      </c>
      <c r="Q6" s="99">
        <f t="shared" si="9"/>
        <v>-4.795940322770708E-2</v>
      </c>
      <c r="R6" s="9">
        <f t="shared" si="1"/>
        <v>-1.8729081984219798E-2</v>
      </c>
      <c r="S6" s="31">
        <f t="shared" si="2"/>
        <v>-1.1698991474298088E-2</v>
      </c>
      <c r="T6" s="99">
        <v>-1.0446672022941628E-2</v>
      </c>
      <c r="U6" s="9">
        <v>-1.9649819475047448E-2</v>
      </c>
      <c r="V6" s="31">
        <v>-3.014758390036747E-2</v>
      </c>
      <c r="W6" s="9">
        <v>-1.0446672022941628E-2</v>
      </c>
      <c r="X6" s="9">
        <v>-1.9649819475047448E-2</v>
      </c>
      <c r="Y6" s="31">
        <v>-3.014758390036747E-2</v>
      </c>
      <c r="Z6" s="99">
        <f t="shared" si="10"/>
        <v>-1.0446672022941628E-2</v>
      </c>
      <c r="AA6" s="9">
        <f t="shared" si="3"/>
        <v>-1.9649819475047448E-2</v>
      </c>
      <c r="AB6" s="31">
        <f t="shared" si="4"/>
        <v>-3.014758390036747E-2</v>
      </c>
      <c r="AC6" s="101">
        <f t="shared" si="11"/>
        <v>-2.929253630236377E-2</v>
      </c>
      <c r="AD6" s="90">
        <f t="shared" si="12"/>
        <v>-2.2009478440212407E-2</v>
      </c>
      <c r="AE6" s="102">
        <f t="shared" si="13"/>
        <v>-2.5691026870286088E-2</v>
      </c>
    </row>
    <row r="7" spans="1:31" x14ac:dyDescent="0.45">
      <c r="A7" s="29">
        <v>4</v>
      </c>
      <c r="B7" s="99">
        <v>-2.9462297456618547E-2</v>
      </c>
      <c r="C7" s="9">
        <v>-2.7645678062637319E-2</v>
      </c>
      <c r="D7" s="31">
        <v>-3.5223334845072118E-2</v>
      </c>
      <c r="E7" s="99">
        <v>-2.9462297456618547E-2</v>
      </c>
      <c r="F7" s="9">
        <v>-2.7645678062637319E-2</v>
      </c>
      <c r="G7" s="31">
        <v>-3.5223334845072118E-2</v>
      </c>
      <c r="H7" s="99">
        <f t="shared" si="6"/>
        <v>-2.9462297456618547E-2</v>
      </c>
      <c r="I7" s="9">
        <f t="shared" si="7"/>
        <v>-2.7645678062637319E-2</v>
      </c>
      <c r="J7" s="31">
        <f t="shared" si="8"/>
        <v>-3.5223334845072118E-2</v>
      </c>
      <c r="K7" s="99">
        <v>-4.7981289423327397E-2</v>
      </c>
      <c r="L7" s="9">
        <v>-1.8738757540780398E-2</v>
      </c>
      <c r="M7" s="31">
        <v>-1.1705351415766492E-2</v>
      </c>
      <c r="N7" s="99">
        <v>-4.7981289423327397E-2</v>
      </c>
      <c r="O7" s="9">
        <v>-1.8738757540780398E-2</v>
      </c>
      <c r="P7" s="31">
        <v>-1.1705351415766492E-2</v>
      </c>
      <c r="Q7" s="99">
        <f t="shared" si="9"/>
        <v>-4.7981289423327397E-2</v>
      </c>
      <c r="R7" s="9">
        <f t="shared" si="1"/>
        <v>-1.8738757540780398E-2</v>
      </c>
      <c r="S7" s="31">
        <f t="shared" si="2"/>
        <v>-1.1705351415766492E-2</v>
      </c>
      <c r="T7" s="99">
        <v>-1.043769877857339E-2</v>
      </c>
      <c r="U7" s="9">
        <v>-1.9646107353937511E-2</v>
      </c>
      <c r="V7" s="31">
        <v>-3.0144204157055602E-2</v>
      </c>
      <c r="W7" s="9">
        <v>-1.043769877857339E-2</v>
      </c>
      <c r="X7" s="9">
        <v>-1.9646107353937511E-2</v>
      </c>
      <c r="Y7" s="31">
        <v>-3.0144204157055602E-2</v>
      </c>
      <c r="Z7" s="99">
        <f t="shared" si="10"/>
        <v>-1.043769877857339E-2</v>
      </c>
      <c r="AA7" s="9">
        <f t="shared" si="3"/>
        <v>-1.9646107353937511E-2</v>
      </c>
      <c r="AB7" s="31">
        <f t="shared" si="4"/>
        <v>-3.0144204157055602E-2</v>
      </c>
      <c r="AC7" s="101">
        <f t="shared" si="11"/>
        <v>-2.9293761886173112E-2</v>
      </c>
      <c r="AD7" s="90">
        <f t="shared" si="12"/>
        <v>-2.2010180985785079E-2</v>
      </c>
      <c r="AE7" s="102">
        <f t="shared" si="13"/>
        <v>-2.5690963472631403E-2</v>
      </c>
    </row>
    <row r="8" spans="1:31" x14ac:dyDescent="0.45">
      <c r="A8" s="29">
        <v>5</v>
      </c>
      <c r="B8" s="99">
        <v>-2.9604917438409348E-2</v>
      </c>
      <c r="C8" s="9">
        <v>-2.7704230485109747E-2</v>
      </c>
      <c r="D8" s="31">
        <v>-3.5275607770207919E-2</v>
      </c>
      <c r="E8" s="99">
        <v>-2.9604917438409348E-2</v>
      </c>
      <c r="F8" s="9">
        <v>-2.7704230485109747E-2</v>
      </c>
      <c r="G8" s="31">
        <v>-3.5275607770207919E-2</v>
      </c>
      <c r="H8" s="99">
        <f t="shared" si="6"/>
        <v>-2.9604917438409348E-2</v>
      </c>
      <c r="I8" s="9">
        <f t="shared" si="7"/>
        <v>-2.7704230485109747E-2</v>
      </c>
      <c r="J8" s="31">
        <f t="shared" si="8"/>
        <v>-3.5275607770207919E-2</v>
      </c>
      <c r="K8" s="99">
        <v>-4.7547464313918771E-2</v>
      </c>
      <c r="L8" s="9">
        <v>-1.8548536496979417E-2</v>
      </c>
      <c r="M8" s="31">
        <v>-1.1581745740855222E-2</v>
      </c>
      <c r="N8" s="99">
        <v>-4.7547464313918771E-2</v>
      </c>
      <c r="O8" s="9">
        <v>-1.8548536496979417E-2</v>
      </c>
      <c r="P8" s="31">
        <v>-1.1581745740855222E-2</v>
      </c>
      <c r="Q8" s="99">
        <f t="shared" si="9"/>
        <v>-4.7547464313918771E-2</v>
      </c>
      <c r="R8" s="9">
        <f t="shared" si="1"/>
        <v>-1.8548536496979417E-2</v>
      </c>
      <c r="S8" s="31">
        <f t="shared" si="2"/>
        <v>-1.1581745740855222E-2</v>
      </c>
      <c r="T8" s="99">
        <v>-1.056854188395063E-2</v>
      </c>
      <c r="U8" s="9">
        <v>-1.9702134960764377E-2</v>
      </c>
      <c r="V8" s="31">
        <v>-3.0196084770263885E-2</v>
      </c>
      <c r="W8" s="9">
        <v>-1.056854188395063E-2</v>
      </c>
      <c r="X8" s="9">
        <v>-1.9702134960764377E-2</v>
      </c>
      <c r="Y8" s="31">
        <v>-3.0196084770263885E-2</v>
      </c>
      <c r="Z8" s="99">
        <f t="shared" si="10"/>
        <v>-1.056854188395063E-2</v>
      </c>
      <c r="AA8" s="9">
        <f t="shared" si="3"/>
        <v>-1.9702134960764377E-2</v>
      </c>
      <c r="AB8" s="31">
        <f t="shared" si="4"/>
        <v>-3.0196084770263885E-2</v>
      </c>
      <c r="AC8" s="101">
        <f t="shared" si="11"/>
        <v>-2.9240307878759586E-2</v>
      </c>
      <c r="AD8" s="90">
        <f t="shared" si="12"/>
        <v>-2.1984967314284513E-2</v>
      </c>
      <c r="AE8" s="102">
        <f t="shared" si="13"/>
        <v>-2.5684479427109008E-2</v>
      </c>
    </row>
    <row r="9" spans="1:31" x14ac:dyDescent="0.45">
      <c r="A9" s="29">
        <v>6</v>
      </c>
      <c r="B9" s="99">
        <v>-2.9632919230078776E-2</v>
      </c>
      <c r="C9" s="9">
        <v>-2.7713944102861026E-2</v>
      </c>
      <c r="D9" s="31">
        <v>-3.5322961896834738E-2</v>
      </c>
      <c r="E9" s="99">
        <v>-2.9632919230078776E-2</v>
      </c>
      <c r="F9" s="9">
        <v>-2.7713944102861026E-2</v>
      </c>
      <c r="G9" s="31">
        <v>-3.5322961896834738E-2</v>
      </c>
      <c r="H9" s="99">
        <f t="shared" si="6"/>
        <v>-2.9632919230078776E-2</v>
      </c>
      <c r="I9" s="9">
        <f t="shared" si="7"/>
        <v>-2.7713944102861026E-2</v>
      </c>
      <c r="J9" s="31">
        <f t="shared" si="8"/>
        <v>-3.5322961896834738E-2</v>
      </c>
      <c r="K9" s="99">
        <v>-4.6063474158287598E-2</v>
      </c>
      <c r="L9" s="9">
        <v>-1.7913549917322257E-2</v>
      </c>
      <c r="M9" s="31">
        <v>-1.1186365992299017E-2</v>
      </c>
      <c r="N9" s="99">
        <v>-4.6063474158287598E-2</v>
      </c>
      <c r="O9" s="9">
        <v>-1.7913549917322257E-2</v>
      </c>
      <c r="P9" s="31">
        <v>-1.1186365992299017E-2</v>
      </c>
      <c r="Q9" s="99">
        <f t="shared" si="9"/>
        <v>-4.6063474158287598E-2</v>
      </c>
      <c r="R9" s="9">
        <f t="shared" si="1"/>
        <v>-1.7913549917322257E-2</v>
      </c>
      <c r="S9" s="31">
        <f t="shared" si="2"/>
        <v>-1.1186365992299017E-2</v>
      </c>
      <c r="T9" s="99">
        <v>-1.0561271865535796E-2</v>
      </c>
      <c r="U9" s="9">
        <v>-1.970798144750377E-2</v>
      </c>
      <c r="V9" s="31">
        <v>-3.0248326681573061E-2</v>
      </c>
      <c r="W9" s="9">
        <v>-1.0561271865535796E-2</v>
      </c>
      <c r="X9" s="9">
        <v>-1.970798144750377E-2</v>
      </c>
      <c r="Y9" s="31">
        <v>-3.0248326681573061E-2</v>
      </c>
      <c r="Z9" s="99">
        <f t="shared" si="10"/>
        <v>-1.0561271865535796E-2</v>
      </c>
      <c r="AA9" s="9">
        <f t="shared" si="3"/>
        <v>-1.970798144750377E-2</v>
      </c>
      <c r="AB9" s="31">
        <f t="shared" si="4"/>
        <v>-3.0248326681573061E-2</v>
      </c>
      <c r="AC9" s="101">
        <f t="shared" si="11"/>
        <v>-2.8752555084634052E-2</v>
      </c>
      <c r="AD9" s="90">
        <f t="shared" si="12"/>
        <v>-2.1778491822562352E-2</v>
      </c>
      <c r="AE9" s="102">
        <f t="shared" si="13"/>
        <v>-2.5585884856902275E-2</v>
      </c>
    </row>
    <row r="10" spans="1:31" x14ac:dyDescent="0.45">
      <c r="A10" s="29">
        <v>7</v>
      </c>
      <c r="B10" s="99">
        <v>-3.0638567943973582E-2</v>
      </c>
      <c r="C10" s="9">
        <v>-2.8103201778404915E-2</v>
      </c>
      <c r="D10" s="31">
        <v>-3.5596002841865322E-2</v>
      </c>
      <c r="E10" s="99">
        <v>-3.0708325951226526E-2</v>
      </c>
      <c r="F10" s="9">
        <v>-2.8166838287863843E-2</v>
      </c>
      <c r="G10" s="31">
        <v>-3.5673170921729454E-2</v>
      </c>
      <c r="H10" s="99">
        <f t="shared" si="6"/>
        <v>-3.0673446947600054E-2</v>
      </c>
      <c r="I10" s="9">
        <f t="shared" si="7"/>
        <v>-2.8135020033134381E-2</v>
      </c>
      <c r="J10" s="31">
        <f t="shared" si="8"/>
        <v>-3.5634586881797388E-2</v>
      </c>
      <c r="K10" s="99">
        <v>-4.3737252857510504E-2</v>
      </c>
      <c r="L10" s="9">
        <v>-1.6911496081596877E-2</v>
      </c>
      <c r="M10" s="31">
        <v>-1.0548357117547319E-2</v>
      </c>
      <c r="N10" s="99">
        <v>-4.3737252857510504E-2</v>
      </c>
      <c r="O10" s="9">
        <v>-1.6911496081596877E-2</v>
      </c>
      <c r="P10" s="31">
        <v>-1.0548357117547319E-2</v>
      </c>
      <c r="Q10" s="99">
        <f t="shared" si="9"/>
        <v>-4.3737252857510504E-2</v>
      </c>
      <c r="R10" s="9">
        <f t="shared" si="1"/>
        <v>-1.6911496081596877E-2</v>
      </c>
      <c r="S10" s="31">
        <f t="shared" si="2"/>
        <v>-1.0548357117547319E-2</v>
      </c>
      <c r="T10" s="99">
        <v>-1.0531146163840904E-2</v>
      </c>
      <c r="U10" s="9">
        <v>-1.9672825891260945E-2</v>
      </c>
      <c r="V10" s="31">
        <v>-3.0259755918848906E-2</v>
      </c>
      <c r="W10" s="9">
        <v>-1.0546226475753737E-2</v>
      </c>
      <c r="X10" s="9">
        <v>-1.9713001590989522E-2</v>
      </c>
      <c r="Y10" s="31">
        <v>-3.0321935583201124E-2</v>
      </c>
      <c r="Z10" s="99">
        <f t="shared" si="10"/>
        <v>-1.0538686319797321E-2</v>
      </c>
      <c r="AA10" s="9">
        <f t="shared" si="3"/>
        <v>-1.9692913741125233E-2</v>
      </c>
      <c r="AB10" s="31">
        <f t="shared" si="4"/>
        <v>-3.0290845751025017E-2</v>
      </c>
      <c r="AC10" s="101">
        <f t="shared" si="11"/>
        <v>-2.8316462041635959E-2</v>
      </c>
      <c r="AD10" s="90">
        <f t="shared" si="12"/>
        <v>-2.1579809951952165E-2</v>
      </c>
      <c r="AE10" s="102">
        <f t="shared" si="13"/>
        <v>-2.5491263250123242E-2</v>
      </c>
    </row>
    <row r="11" spans="1:31" x14ac:dyDescent="0.45">
      <c r="A11" s="29">
        <v>8</v>
      </c>
      <c r="B11" s="99">
        <v>-3.1276062394258827E-2</v>
      </c>
      <c r="C11" s="9">
        <v>-2.7929145881357021E-2</v>
      </c>
      <c r="D11" s="31">
        <v>-3.5047871973631066E-2</v>
      </c>
      <c r="E11" s="99">
        <v>-3.2252508839246005E-2</v>
      </c>
      <c r="F11" s="9">
        <v>-2.8819297388400344E-2</v>
      </c>
      <c r="G11" s="31">
        <v>-3.6129082216911704E-2</v>
      </c>
      <c r="H11" s="99">
        <f t="shared" si="6"/>
        <v>-3.1764285616752416E-2</v>
      </c>
      <c r="I11" s="9">
        <f t="shared" si="7"/>
        <v>-2.8374221634878682E-2</v>
      </c>
      <c r="J11" s="31">
        <f t="shared" si="8"/>
        <v>-3.5588477095271381E-2</v>
      </c>
      <c r="K11" s="99">
        <v>-4.210630175313753E-2</v>
      </c>
      <c r="L11" s="9">
        <v>-1.6212148398363994E-2</v>
      </c>
      <c r="M11" s="31">
        <v>-1.0103871923889363E-2</v>
      </c>
      <c r="N11" s="99">
        <v>-4.210630175313753E-2</v>
      </c>
      <c r="O11" s="9">
        <v>-1.6212148398363994E-2</v>
      </c>
      <c r="P11" s="31">
        <v>-1.0103871923889363E-2</v>
      </c>
      <c r="Q11" s="99">
        <f t="shared" si="9"/>
        <v>-4.210630175313753E-2</v>
      </c>
      <c r="R11" s="9">
        <f t="shared" si="1"/>
        <v>-1.6212148398363994E-2</v>
      </c>
      <c r="S11" s="31">
        <f t="shared" si="2"/>
        <v>-1.0103871923889363E-2</v>
      </c>
      <c r="T11" s="99">
        <v>-1.0322018541382146E-2</v>
      </c>
      <c r="U11" s="9">
        <v>-1.9147393016592761E-2</v>
      </c>
      <c r="V11" s="31">
        <v>-2.9490410344123159E-2</v>
      </c>
      <c r="W11" s="9">
        <v>-1.0534768285576234E-2</v>
      </c>
      <c r="X11" s="9">
        <v>-1.9710660791896612E-2</v>
      </c>
      <c r="Y11" s="31">
        <v>-3.0361638437303971E-2</v>
      </c>
      <c r="Z11" s="99">
        <f t="shared" si="10"/>
        <v>-1.0428393413479189E-2</v>
      </c>
      <c r="AA11" s="9">
        <f t="shared" si="3"/>
        <v>-1.9429026904244688E-2</v>
      </c>
      <c r="AB11" s="31">
        <f t="shared" si="4"/>
        <v>-2.9926024390713565E-2</v>
      </c>
      <c r="AC11" s="101">
        <f t="shared" si="11"/>
        <v>-2.8099660261123042E-2</v>
      </c>
      <c r="AD11" s="90">
        <f t="shared" si="12"/>
        <v>-2.1338465645829124E-2</v>
      </c>
      <c r="AE11" s="102">
        <f t="shared" si="13"/>
        <v>-2.52061244699581E-2</v>
      </c>
    </row>
    <row r="12" spans="1:31" x14ac:dyDescent="0.45">
      <c r="A12" s="29">
        <v>9</v>
      </c>
      <c r="B12" s="99">
        <v>-2.9002010302812489E-2</v>
      </c>
      <c r="C12" s="9">
        <v>-2.56427717844597E-2</v>
      </c>
      <c r="D12" s="31">
        <v>-3.2174688088107327E-2</v>
      </c>
      <c r="E12" s="99">
        <v>-3.2691607448628805E-2</v>
      </c>
      <c r="F12" s="9">
        <v>-2.9004300133713544E-2</v>
      </c>
      <c r="G12" s="31">
        <v>-3.6258360960650438E-2</v>
      </c>
      <c r="H12" s="99">
        <f t="shared" si="6"/>
        <v>-3.0846808875720645E-2</v>
      </c>
      <c r="I12" s="9">
        <f t="shared" si="7"/>
        <v>-2.7323535959086622E-2</v>
      </c>
      <c r="J12" s="31">
        <f t="shared" si="8"/>
        <v>-3.4216524524378886E-2</v>
      </c>
      <c r="K12" s="99">
        <v>-4.1638311171788643E-2</v>
      </c>
      <c r="L12" s="9">
        <v>-1.6011925809332566E-2</v>
      </c>
      <c r="M12" s="31">
        <v>-9.9773462365776271E-3</v>
      </c>
      <c r="N12" s="99">
        <v>-4.1638311171788643E-2</v>
      </c>
      <c r="O12" s="9">
        <v>-1.6011784962187799E-2</v>
      </c>
      <c r="P12" s="31">
        <v>-9.9765793758356692E-3</v>
      </c>
      <c r="Q12" s="99">
        <f t="shared" si="9"/>
        <v>-4.1638311171788643E-2</v>
      </c>
      <c r="R12" s="9">
        <f t="shared" si="1"/>
        <v>-1.6011855385760183E-2</v>
      </c>
      <c r="S12" s="31">
        <f t="shared" si="2"/>
        <v>-9.976962806206649E-3</v>
      </c>
      <c r="T12" s="99">
        <v>-9.7285026377677813E-3</v>
      </c>
      <c r="U12" s="9">
        <v>-1.7582723576705143E-2</v>
      </c>
      <c r="V12" s="31">
        <v>-2.7083011629445698E-2</v>
      </c>
      <c r="W12" s="9">
        <v>-1.053272807227363E-2</v>
      </c>
      <c r="X12" s="9">
        <v>-1.9711768997162784E-2</v>
      </c>
      <c r="Y12" s="31">
        <v>-3.0375632790823479E-2</v>
      </c>
      <c r="Z12" s="99">
        <f t="shared" si="10"/>
        <v>-1.0130615355020706E-2</v>
      </c>
      <c r="AA12" s="9">
        <f t="shared" si="3"/>
        <v>-1.8647246286933962E-2</v>
      </c>
      <c r="AB12" s="31">
        <f t="shared" si="4"/>
        <v>-2.8729322210134588E-2</v>
      </c>
      <c r="AC12" s="101">
        <f t="shared" si="11"/>
        <v>-2.7538578467509997E-2</v>
      </c>
      <c r="AD12" s="90">
        <f t="shared" si="12"/>
        <v>-2.0660879210593588E-2</v>
      </c>
      <c r="AE12" s="102">
        <f t="shared" si="13"/>
        <v>-2.4307603180240042E-2</v>
      </c>
    </row>
    <row r="13" spans="1:31" x14ac:dyDescent="0.45">
      <c r="A13" s="29">
        <v>10</v>
      </c>
      <c r="B13" s="99">
        <v>-2.5477716919327698E-2</v>
      </c>
      <c r="C13" s="9">
        <v>-2.2349919726537468E-2</v>
      </c>
      <c r="D13" s="31">
        <v>-2.8137090215547514E-2</v>
      </c>
      <c r="E13" s="99">
        <v>-3.2833386767490175E-2</v>
      </c>
      <c r="F13" s="9">
        <v>-2.9047022057320997E-2</v>
      </c>
      <c r="G13" s="31">
        <v>-3.6271894835998783E-2</v>
      </c>
      <c r="H13" s="99">
        <f t="shared" si="6"/>
        <v>-2.9155551843408935E-2</v>
      </c>
      <c r="I13" s="9">
        <f t="shared" si="7"/>
        <v>-2.5698470891929233E-2</v>
      </c>
      <c r="J13" s="31">
        <f t="shared" si="8"/>
        <v>-3.2204492525773148E-2</v>
      </c>
      <c r="K13" s="99">
        <v>-4.1449341826077818E-2</v>
      </c>
      <c r="L13" s="9">
        <v>-1.5915643900065619E-2</v>
      </c>
      <c r="M13" s="31">
        <v>-9.8978888202190998E-3</v>
      </c>
      <c r="N13" s="99">
        <v>-4.1449341826077818E-2</v>
      </c>
      <c r="O13" s="9">
        <v>-1.5930984786112289E-2</v>
      </c>
      <c r="P13" s="31">
        <v>-9.9254185912037857E-3</v>
      </c>
      <c r="Q13" s="99">
        <f t="shared" si="9"/>
        <v>-4.1449341826077818E-2</v>
      </c>
      <c r="R13" s="9">
        <f t="shared" si="1"/>
        <v>-1.5923314343088954E-2</v>
      </c>
      <c r="S13" s="31">
        <f t="shared" si="2"/>
        <v>-9.9116537057114436E-3</v>
      </c>
      <c r="T13" s="99">
        <v>-8.9184892209995086E-3</v>
      </c>
      <c r="U13" s="9">
        <v>-1.5443999216282473E-2</v>
      </c>
      <c r="V13" s="31">
        <v>-2.3782948351097288E-2</v>
      </c>
      <c r="W13" s="9">
        <v>-1.0524453648722674E-2</v>
      </c>
      <c r="X13" s="9">
        <v>-1.969202365690775E-2</v>
      </c>
      <c r="Y13" s="31">
        <v>-3.0350081604618193E-2</v>
      </c>
      <c r="Z13" s="99">
        <f t="shared" si="10"/>
        <v>-9.7214714348610905E-3</v>
      </c>
      <c r="AA13" s="9">
        <f t="shared" si="3"/>
        <v>-1.7568011436595112E-2</v>
      </c>
      <c r="AB13" s="31">
        <f t="shared" si="4"/>
        <v>-2.7066514977857739E-2</v>
      </c>
      <c r="AC13" s="101">
        <f t="shared" si="11"/>
        <v>-2.6775455034782611E-2</v>
      </c>
      <c r="AD13" s="90">
        <f t="shared" si="12"/>
        <v>-1.9729932223871097E-2</v>
      </c>
      <c r="AE13" s="102">
        <f t="shared" si="13"/>
        <v>-2.3060887069780777E-2</v>
      </c>
    </row>
    <row r="14" spans="1:31" x14ac:dyDescent="0.45">
      <c r="A14" s="29">
        <v>11</v>
      </c>
      <c r="B14" s="99">
        <v>-2.1873621222150454E-2</v>
      </c>
      <c r="C14" s="9">
        <v>-1.9021159739899665E-2</v>
      </c>
      <c r="D14" s="31">
        <v>-2.407136435613922E-2</v>
      </c>
      <c r="E14" s="99">
        <v>-3.2840764945952228E-2</v>
      </c>
      <c r="F14" s="9">
        <v>-2.8999082767492849E-2</v>
      </c>
      <c r="G14" s="31">
        <v>-3.6188771944570604E-2</v>
      </c>
      <c r="H14" s="99">
        <f t="shared" si="6"/>
        <v>-2.7357193084051341E-2</v>
      </c>
      <c r="I14" s="9">
        <f t="shared" si="7"/>
        <v>-2.4010121253696257E-2</v>
      </c>
      <c r="J14" s="31">
        <f t="shared" si="8"/>
        <v>-3.0130068150354912E-2</v>
      </c>
      <c r="K14" s="99">
        <v>-4.0571055316568676E-2</v>
      </c>
      <c r="L14" s="9">
        <v>-1.5562024479733313E-2</v>
      </c>
      <c r="M14" s="31">
        <v>-9.695570945812651E-3</v>
      </c>
      <c r="N14" s="99">
        <v>-4.1329383134790607E-2</v>
      </c>
      <c r="O14" s="9">
        <v>-1.5879683781684459E-2</v>
      </c>
      <c r="P14" s="31">
        <v>-9.892748616646926E-3</v>
      </c>
      <c r="Q14" s="99">
        <f t="shared" si="9"/>
        <v>-4.0950219225679638E-2</v>
      </c>
      <c r="R14" s="9">
        <f t="shared" si="1"/>
        <v>-1.5720854130708888E-2</v>
      </c>
      <c r="S14" s="31">
        <f t="shared" si="2"/>
        <v>-9.7941597812297894E-3</v>
      </c>
      <c r="T14" s="99">
        <v>-8.1045423836319519E-3</v>
      </c>
      <c r="U14" s="9">
        <v>-1.3295123922734211E-2</v>
      </c>
      <c r="V14" s="31">
        <v>-2.0468465948044728E-2</v>
      </c>
      <c r="W14" s="9">
        <v>-1.0501202983676875E-2</v>
      </c>
      <c r="X14" s="9">
        <v>-1.9632043012885767E-2</v>
      </c>
      <c r="Y14" s="31">
        <v>-3.0260310463945651E-2</v>
      </c>
      <c r="Z14" s="99">
        <f t="shared" si="10"/>
        <v>-9.3028726836544146E-3</v>
      </c>
      <c r="AA14" s="9">
        <f t="shared" si="3"/>
        <v>-1.6463583467809989E-2</v>
      </c>
      <c r="AB14" s="31">
        <f t="shared" si="4"/>
        <v>-2.5364388205995188E-2</v>
      </c>
      <c r="AC14" s="101">
        <f t="shared" si="11"/>
        <v>-2.5870094997795131E-2</v>
      </c>
      <c r="AD14" s="90">
        <f t="shared" si="12"/>
        <v>-1.8731519617405046E-2</v>
      </c>
      <c r="AE14" s="102">
        <f t="shared" si="13"/>
        <v>-2.1762872045859961E-2</v>
      </c>
    </row>
    <row r="15" spans="1:31" x14ac:dyDescent="0.45">
      <c r="A15" s="29">
        <v>12</v>
      </c>
      <c r="B15" s="99">
        <v>-1.9938634367760708E-2</v>
      </c>
      <c r="C15" s="9">
        <v>-1.720784423638266E-2</v>
      </c>
      <c r="D15" s="31">
        <v>-2.1843733466208652E-2</v>
      </c>
      <c r="E15" s="99">
        <v>-3.2848091073640909E-2</v>
      </c>
      <c r="F15" s="9">
        <v>-2.8950624323791745E-2</v>
      </c>
      <c r="G15" s="31">
        <v>-3.6105714029273879E-2</v>
      </c>
      <c r="H15" s="99">
        <f t="shared" si="6"/>
        <v>-2.6393362720700808E-2</v>
      </c>
      <c r="I15" s="9">
        <f t="shared" si="7"/>
        <v>-2.3079234280087201E-2</v>
      </c>
      <c r="J15" s="31">
        <f t="shared" si="8"/>
        <v>-2.8974723747741266E-2</v>
      </c>
      <c r="K15" s="99">
        <v>-3.690225944908429E-2</v>
      </c>
      <c r="L15" s="9">
        <v>-1.4022992360769492E-2</v>
      </c>
      <c r="M15" s="31">
        <v>-8.7363499482923778E-3</v>
      </c>
      <c r="N15" s="99">
        <v>-4.1209104787507167E-2</v>
      </c>
      <c r="O15" s="9">
        <v>-1.5828166209035818E-2</v>
      </c>
      <c r="P15" s="31">
        <v>-9.8603634659347322E-3</v>
      </c>
      <c r="Q15" s="99">
        <f t="shared" si="9"/>
        <v>-3.9055682118295729E-2</v>
      </c>
      <c r="R15" s="9">
        <f t="shared" si="1"/>
        <v>-1.4925579284902655E-2</v>
      </c>
      <c r="S15" s="31">
        <f t="shared" si="2"/>
        <v>-9.2983567071135559E-3</v>
      </c>
      <c r="T15" s="99">
        <v>-7.6532262047144996E-3</v>
      </c>
      <c r="U15" s="9">
        <v>-1.210558224771764E-2</v>
      </c>
      <c r="V15" s="31">
        <v>-1.8636113814528066E-2</v>
      </c>
      <c r="W15" s="9">
        <v>-1.0477848896257129E-2</v>
      </c>
      <c r="X15" s="9">
        <v>-1.9572111939287505E-2</v>
      </c>
      <c r="Y15" s="31">
        <v>-3.0170236593201932E-2</v>
      </c>
      <c r="Z15" s="99">
        <f t="shared" si="10"/>
        <v>-9.0655375504858152E-3</v>
      </c>
      <c r="AA15" s="9">
        <f t="shared" si="3"/>
        <v>-1.5838847093502573E-2</v>
      </c>
      <c r="AB15" s="31">
        <f t="shared" si="4"/>
        <v>-2.4403175203865E-2</v>
      </c>
      <c r="AC15" s="101">
        <f t="shared" si="11"/>
        <v>-2.4838194129827452E-2</v>
      </c>
      <c r="AD15" s="90">
        <f t="shared" si="12"/>
        <v>-1.7947886886164142E-2</v>
      </c>
      <c r="AE15" s="102">
        <f t="shared" si="13"/>
        <v>-2.089208521957327E-2</v>
      </c>
    </row>
    <row r="16" spans="1:31" x14ac:dyDescent="0.45">
      <c r="A16" s="29">
        <v>13</v>
      </c>
      <c r="B16" s="99">
        <v>-2.0665588212430974E-2</v>
      </c>
      <c r="C16" s="9">
        <v>-1.7813658870114723E-2</v>
      </c>
      <c r="D16" s="31">
        <v>-2.255403226930101E-2</v>
      </c>
      <c r="E16" s="99">
        <v>-3.2956747570140797E-2</v>
      </c>
      <c r="F16" s="9">
        <v>-2.8996448781715884E-2</v>
      </c>
      <c r="G16" s="31">
        <v>-3.6137548507529892E-2</v>
      </c>
      <c r="H16" s="99">
        <f t="shared" si="6"/>
        <v>-2.6811167891285886E-2</v>
      </c>
      <c r="I16" s="9">
        <f t="shared" si="7"/>
        <v>-2.3405053825915303E-2</v>
      </c>
      <c r="J16" s="31">
        <f t="shared" si="8"/>
        <v>-2.9345790388415449E-2</v>
      </c>
      <c r="K16" s="99">
        <v>-3.8147179553384196E-2</v>
      </c>
      <c r="L16" s="9">
        <v>-1.4543688807270401E-2</v>
      </c>
      <c r="M16" s="31">
        <v>-9.060048854437527E-3</v>
      </c>
      <c r="N16" s="99">
        <v>-4.1092667732564821E-2</v>
      </c>
      <c r="O16" s="9">
        <v>-1.5778614717613826E-2</v>
      </c>
      <c r="P16" s="31">
        <v>-9.828699128582313E-3</v>
      </c>
      <c r="Q16" s="99">
        <f t="shared" si="9"/>
        <v>-3.9619923642974508E-2</v>
      </c>
      <c r="R16" s="9">
        <f t="shared" si="1"/>
        <v>-1.5161151762442114E-2</v>
      </c>
      <c r="S16" s="31">
        <f t="shared" si="2"/>
        <v>-9.44437399150992E-3</v>
      </c>
      <c r="T16" s="99">
        <v>-7.7880878520157834E-3</v>
      </c>
      <c r="U16" s="9">
        <v>-1.2462313258639546E-2</v>
      </c>
      <c r="V16" s="31">
        <v>-1.9187968875806278E-2</v>
      </c>
      <c r="W16" s="9">
        <v>-1.0477346125937068E-2</v>
      </c>
      <c r="X16" s="9">
        <v>-1.957217117175827E-2</v>
      </c>
      <c r="Y16" s="31">
        <v>-3.0173660033841539E-2</v>
      </c>
      <c r="Z16" s="99">
        <f t="shared" si="10"/>
        <v>-9.1327169889764259E-3</v>
      </c>
      <c r="AA16" s="9">
        <f t="shared" si="3"/>
        <v>-1.6017242215198908E-2</v>
      </c>
      <c r="AB16" s="31">
        <f t="shared" si="4"/>
        <v>-2.468081445482391E-2</v>
      </c>
      <c r="AC16" s="101">
        <f t="shared" si="11"/>
        <v>-2.5187936174412274E-2</v>
      </c>
      <c r="AD16" s="90">
        <f t="shared" si="12"/>
        <v>-1.8194482601185443E-2</v>
      </c>
      <c r="AE16" s="102">
        <f t="shared" si="13"/>
        <v>-2.1156992944916426E-2</v>
      </c>
    </row>
    <row r="17" spans="1:32" x14ac:dyDescent="0.45">
      <c r="A17" s="29">
        <v>14</v>
      </c>
      <c r="B17" s="99">
        <v>-2.1703252680441328E-2</v>
      </c>
      <c r="C17" s="9">
        <v>-1.873165065548401E-2</v>
      </c>
      <c r="D17" s="31">
        <v>-2.3657375776312519E-2</v>
      </c>
      <c r="E17" s="99">
        <v>-3.3084450726928359E-2</v>
      </c>
      <c r="F17" s="9">
        <v>-2.9084693394146554E-2</v>
      </c>
      <c r="G17" s="31">
        <v>-3.6232114519709334E-2</v>
      </c>
      <c r="H17" s="99">
        <f t="shared" si="6"/>
        <v>-2.7393851703684843E-2</v>
      </c>
      <c r="I17" s="9">
        <f t="shared" si="7"/>
        <v>-2.390817202481528E-2</v>
      </c>
      <c r="J17" s="31">
        <f t="shared" si="8"/>
        <v>-2.9944745148010925E-2</v>
      </c>
      <c r="K17" s="99">
        <v>-4.003703968006108E-2</v>
      </c>
      <c r="L17" s="9">
        <v>-1.5335658766479408E-2</v>
      </c>
      <c r="M17" s="31">
        <v>-9.5532482017151657E-3</v>
      </c>
      <c r="N17" s="99">
        <v>-4.1030376554413849E-2</v>
      </c>
      <c r="O17" s="9">
        <v>-1.5751857662332579E-2</v>
      </c>
      <c r="P17" s="31">
        <v>-9.8116534315662966E-3</v>
      </c>
      <c r="Q17" s="99">
        <f t="shared" si="9"/>
        <v>-4.0533708117237464E-2</v>
      </c>
      <c r="R17" s="9">
        <f t="shared" si="1"/>
        <v>-1.5543758214405994E-2</v>
      </c>
      <c r="S17" s="31">
        <f t="shared" si="2"/>
        <v>-9.6824508166407312E-3</v>
      </c>
      <c r="T17" s="99">
        <v>-8.005664490066523E-3</v>
      </c>
      <c r="U17" s="9">
        <v>-1.3037390599790477E-2</v>
      </c>
      <c r="V17" s="31">
        <v>-2.0076098626628503E-2</v>
      </c>
      <c r="W17" s="9">
        <v>-1.0492297002854522E-2</v>
      </c>
      <c r="X17" s="9">
        <v>-1.9612446888077107E-2</v>
      </c>
      <c r="Y17" s="31">
        <v>-3.0237661527255145E-2</v>
      </c>
      <c r="Z17" s="99">
        <f t="shared" si="10"/>
        <v>-9.2489807464605223E-3</v>
      </c>
      <c r="AA17" s="9">
        <f t="shared" si="3"/>
        <v>-1.632491874393379E-2</v>
      </c>
      <c r="AB17" s="31">
        <f t="shared" si="4"/>
        <v>-2.5156880076941824E-2</v>
      </c>
      <c r="AC17" s="101">
        <f t="shared" si="11"/>
        <v>-2.5725513522460941E-2</v>
      </c>
      <c r="AD17" s="90">
        <f t="shared" si="12"/>
        <v>-1.8592282994385024E-2</v>
      </c>
      <c r="AE17" s="102">
        <f t="shared" si="13"/>
        <v>-2.1594692013864492E-2</v>
      </c>
    </row>
    <row r="18" spans="1:32" x14ac:dyDescent="0.45">
      <c r="A18" s="29">
        <v>15</v>
      </c>
      <c r="B18" s="99">
        <v>-2.4792199643131434E-2</v>
      </c>
      <c r="C18" s="9">
        <v>-2.1421282565310139E-2</v>
      </c>
      <c r="D18" s="31">
        <v>-2.6868754723888083E-2</v>
      </c>
      <c r="E18" s="99">
        <v>-3.342873092295652E-2</v>
      </c>
      <c r="F18" s="9">
        <v>-2.9281331047595432E-2</v>
      </c>
      <c r="G18" s="31">
        <v>-3.6418729013680595E-2</v>
      </c>
      <c r="H18" s="99">
        <f t="shared" si="6"/>
        <v>-2.9110465283043979E-2</v>
      </c>
      <c r="I18" s="9">
        <f t="shared" si="7"/>
        <v>-2.5351306806452784E-2</v>
      </c>
      <c r="J18" s="31">
        <f t="shared" si="8"/>
        <v>-3.1643741868784339E-2</v>
      </c>
      <c r="K18" s="99">
        <v>-4.0772964882065221E-2</v>
      </c>
      <c r="L18" s="9">
        <v>-1.5629410972826281E-2</v>
      </c>
      <c r="M18" s="31">
        <v>-9.7196514845373384E-3</v>
      </c>
      <c r="N18" s="99">
        <v>-4.0772964882065221E-2</v>
      </c>
      <c r="O18" s="9">
        <v>-1.5642130387890137E-2</v>
      </c>
      <c r="P18" s="31">
        <v>-9.7421798244792784E-3</v>
      </c>
      <c r="Q18" s="99">
        <f t="shared" si="9"/>
        <v>-4.0772964882065221E-2</v>
      </c>
      <c r="R18" s="9">
        <f t="shared" si="1"/>
        <v>-1.5635770680358207E-2</v>
      </c>
      <c r="S18" s="31">
        <f t="shared" si="2"/>
        <v>-9.7309156545083084E-3</v>
      </c>
      <c r="T18" s="99">
        <v>-8.6295724946702963E-3</v>
      </c>
      <c r="U18" s="9">
        <v>-1.4687830489935627E-2</v>
      </c>
      <c r="V18" s="31">
        <v>-2.2627913838290149E-2</v>
      </c>
      <c r="W18" s="9">
        <v>-1.0513960595962218E-2</v>
      </c>
      <c r="X18" s="9">
        <v>-1.9673772442374327E-2</v>
      </c>
      <c r="Y18" s="31">
        <v>-3.0338731627239362E-2</v>
      </c>
      <c r="Z18" s="99">
        <f t="shared" si="10"/>
        <v>-9.5717665453162563E-3</v>
      </c>
      <c r="AA18" s="9">
        <f t="shared" si="3"/>
        <v>-1.7180801466154978E-2</v>
      </c>
      <c r="AB18" s="31">
        <f t="shared" si="4"/>
        <v>-2.6483322732764755E-2</v>
      </c>
      <c r="AC18" s="101">
        <f t="shared" si="11"/>
        <v>-2.6485065570141821E-2</v>
      </c>
      <c r="AD18" s="90">
        <f t="shared" si="12"/>
        <v>-1.9389292984321991E-2</v>
      </c>
      <c r="AE18" s="102">
        <f t="shared" si="13"/>
        <v>-2.2619326752019137E-2</v>
      </c>
    </row>
    <row r="19" spans="1:32" x14ac:dyDescent="0.45">
      <c r="A19" s="29">
        <v>16</v>
      </c>
      <c r="B19" s="99">
        <v>-2.8850634508497303E-2</v>
      </c>
      <c r="C19" s="9">
        <v>-2.4781521867762026E-2</v>
      </c>
      <c r="D19" s="31">
        <v>-3.0800584090576621E-2</v>
      </c>
      <c r="E19" s="99">
        <v>-3.4141962407124304E-2</v>
      </c>
      <c r="F19" s="9">
        <v>-2.959910654379002E-2</v>
      </c>
      <c r="G19" s="31">
        <v>-3.6657100831408274E-2</v>
      </c>
      <c r="H19" s="99">
        <f t="shared" si="6"/>
        <v>-3.1496298457810802E-2</v>
      </c>
      <c r="I19" s="9">
        <f t="shared" si="7"/>
        <v>-2.7190314205776021E-2</v>
      </c>
      <c r="J19" s="31">
        <f t="shared" si="8"/>
        <v>-3.3728842460992448E-2</v>
      </c>
      <c r="K19" s="99">
        <v>-4.001057749847596E-2</v>
      </c>
      <c r="L19" s="9">
        <v>-1.531705645751791E-2</v>
      </c>
      <c r="M19" s="31">
        <v>-9.5367036668994893E-3</v>
      </c>
      <c r="N19" s="99">
        <v>-4.0010660681069343E-2</v>
      </c>
      <c r="O19" s="9">
        <v>-1.5316719497505181E-2</v>
      </c>
      <c r="P19" s="31">
        <v>-9.5358363905893116E-3</v>
      </c>
      <c r="Q19" s="99">
        <f t="shared" si="9"/>
        <v>-4.0010619089772652E-2</v>
      </c>
      <c r="R19" s="9">
        <f t="shared" si="1"/>
        <v>-1.5316887977511545E-2</v>
      </c>
      <c r="S19" s="31">
        <f t="shared" si="2"/>
        <v>-9.5362700287444004E-3</v>
      </c>
      <c r="T19" s="99">
        <v>-9.3519693395613755E-3</v>
      </c>
      <c r="U19" s="9">
        <v>-1.6638883190520454E-2</v>
      </c>
      <c r="V19" s="31">
        <v>-2.5663839968577344E-2</v>
      </c>
      <c r="W19" s="9">
        <v>-1.0503965064640804E-2</v>
      </c>
      <c r="X19" s="9">
        <v>-1.9688843038365614E-2</v>
      </c>
      <c r="Y19" s="31">
        <v>-3.0386626439278391E-2</v>
      </c>
      <c r="Z19" s="99">
        <f t="shared" si="10"/>
        <v>-9.9279672021010887E-3</v>
      </c>
      <c r="AA19" s="9">
        <f t="shared" si="3"/>
        <v>-1.8163863114443034E-2</v>
      </c>
      <c r="AB19" s="31">
        <f t="shared" si="4"/>
        <v>-2.8025233203927868E-2</v>
      </c>
      <c r="AC19" s="101">
        <f t="shared" si="11"/>
        <v>-2.7144961583228183E-2</v>
      </c>
      <c r="AD19" s="90">
        <f t="shared" si="12"/>
        <v>-2.0223688432576867E-2</v>
      </c>
      <c r="AE19" s="102">
        <f t="shared" si="13"/>
        <v>-2.3763448564554906E-2</v>
      </c>
    </row>
    <row r="20" spans="1:32" x14ac:dyDescent="0.45">
      <c r="A20" s="29">
        <v>17</v>
      </c>
      <c r="B20" s="99">
        <v>-3.2963021192798168E-2</v>
      </c>
      <c r="C20" s="9">
        <v>-2.8008108056126281E-2</v>
      </c>
      <c r="D20" s="31">
        <v>-3.4490159435438664E-2</v>
      </c>
      <c r="E20" s="99">
        <v>-3.5234200081284181E-2</v>
      </c>
      <c r="F20" s="9">
        <v>-3.0076533779838672E-2</v>
      </c>
      <c r="G20" s="31">
        <v>-3.7006514610726272E-2</v>
      </c>
      <c r="H20" s="99">
        <f t="shared" si="6"/>
        <v>-3.4098610637041171E-2</v>
      </c>
      <c r="I20" s="9">
        <f t="shared" si="7"/>
        <v>-2.9042320917982478E-2</v>
      </c>
      <c r="J20" s="31">
        <f t="shared" si="8"/>
        <v>-3.5748337023082472E-2</v>
      </c>
      <c r="K20" s="99">
        <v>-3.8850515068907764E-2</v>
      </c>
      <c r="L20" s="9">
        <v>-1.4822899920175599E-2</v>
      </c>
      <c r="M20" s="31">
        <v>-9.2231816314299764E-3</v>
      </c>
      <c r="N20" s="99">
        <v>-3.8850515068907764E-2</v>
      </c>
      <c r="O20" s="9">
        <v>-1.4822899920175599E-2</v>
      </c>
      <c r="P20" s="31">
        <v>-9.2231816314299764E-3</v>
      </c>
      <c r="Q20" s="99">
        <f t="shared" si="9"/>
        <v>-3.8850515068907764E-2</v>
      </c>
      <c r="R20" s="9">
        <f t="shared" si="1"/>
        <v>-1.4822899920175599E-2</v>
      </c>
      <c r="S20" s="31">
        <f t="shared" si="2"/>
        <v>-9.2231816314299764E-3</v>
      </c>
      <c r="T20" s="99">
        <v>-1.0040958901642694E-2</v>
      </c>
      <c r="U20" s="9">
        <v>-1.8416231080646914E-2</v>
      </c>
      <c r="V20" s="31">
        <v>-2.8431802014690945E-2</v>
      </c>
      <c r="W20" s="9">
        <v>-1.0670002617111962E-2</v>
      </c>
      <c r="X20" s="9">
        <v>-1.9780592609825426E-2</v>
      </c>
      <c r="Y20" s="31">
        <v>-3.0495530595719085E-2</v>
      </c>
      <c r="Z20" s="99">
        <f t="shared" si="10"/>
        <v>-1.0355480759377329E-2</v>
      </c>
      <c r="AA20" s="9">
        <f t="shared" si="3"/>
        <v>-1.9098411845236168E-2</v>
      </c>
      <c r="AB20" s="31">
        <f t="shared" si="4"/>
        <v>-2.9463666305205014E-2</v>
      </c>
      <c r="AC20" s="101">
        <f t="shared" si="11"/>
        <v>-2.7768202155108754E-2</v>
      </c>
      <c r="AD20" s="90">
        <f t="shared" si="12"/>
        <v>-2.0987877561131418E-2</v>
      </c>
      <c r="AE20" s="102">
        <f t="shared" si="13"/>
        <v>-2.4811728319905819E-2</v>
      </c>
    </row>
    <row r="21" spans="1:32" x14ac:dyDescent="0.45">
      <c r="A21" s="29">
        <v>18</v>
      </c>
      <c r="B21" s="99">
        <v>-3.5175100592689787E-2</v>
      </c>
      <c r="C21" s="9">
        <v>-2.9811473123029692E-2</v>
      </c>
      <c r="D21" s="31">
        <v>-3.6589542569752546E-2</v>
      </c>
      <c r="E21" s="99">
        <v>-3.5665265257532108E-2</v>
      </c>
      <c r="F21" s="9">
        <v>-3.0258051355527331E-2</v>
      </c>
      <c r="G21" s="31">
        <v>-3.7132880958842103E-2</v>
      </c>
      <c r="H21" s="99">
        <f t="shared" si="6"/>
        <v>-3.5420182925110948E-2</v>
      </c>
      <c r="I21" s="9">
        <f t="shared" si="7"/>
        <v>-3.0034762239278513E-2</v>
      </c>
      <c r="J21" s="31">
        <f t="shared" si="8"/>
        <v>-3.6861211764297325E-2</v>
      </c>
      <c r="K21" s="99">
        <v>-3.8374418607806597E-2</v>
      </c>
      <c r="L21" s="9">
        <v>-1.4620377790829069E-2</v>
      </c>
      <c r="M21" s="31">
        <v>-9.0949815540813158E-3</v>
      </c>
      <c r="N21" s="99">
        <v>-3.8374418607806597E-2</v>
      </c>
      <c r="O21" s="9">
        <v>-1.4620377790829069E-2</v>
      </c>
      <c r="P21" s="31">
        <v>-9.0949815540813158E-3</v>
      </c>
      <c r="Q21" s="99">
        <f t="shared" si="9"/>
        <v>-3.8374418607806597E-2</v>
      </c>
      <c r="R21" s="9">
        <f t="shared" si="1"/>
        <v>-1.4620377790829069E-2</v>
      </c>
      <c r="S21" s="31">
        <f t="shared" si="2"/>
        <v>-9.0949815540813158E-3</v>
      </c>
      <c r="T21" s="99">
        <v>-1.0957518556946003E-2</v>
      </c>
      <c r="U21" s="9">
        <v>-1.9666188105321333E-2</v>
      </c>
      <c r="V21" s="31">
        <v>-3.0177906359540516E-2</v>
      </c>
      <c r="W21" s="9">
        <v>-1.109294829257625E-2</v>
      </c>
      <c r="X21" s="9">
        <v>-1.9960372404996332E-2</v>
      </c>
      <c r="Y21" s="31">
        <v>-3.0623445118692111E-2</v>
      </c>
      <c r="Z21" s="99">
        <f t="shared" si="10"/>
        <v>-1.1025233424761126E-2</v>
      </c>
      <c r="AA21" s="9">
        <f t="shared" si="3"/>
        <v>-1.9813280255158834E-2</v>
      </c>
      <c r="AB21" s="31">
        <f t="shared" si="4"/>
        <v>-3.0400675739116312E-2</v>
      </c>
      <c r="AC21" s="101">
        <f t="shared" si="11"/>
        <v>-2.8273278319226224E-2</v>
      </c>
      <c r="AD21" s="90">
        <f t="shared" si="12"/>
        <v>-2.148947342842214E-2</v>
      </c>
      <c r="AE21" s="102">
        <f t="shared" si="13"/>
        <v>-2.5452289685831648E-2</v>
      </c>
    </row>
    <row r="22" spans="1:32" x14ac:dyDescent="0.45">
      <c r="A22" s="29">
        <v>19</v>
      </c>
      <c r="B22" s="99">
        <v>-3.5504745401142013E-2</v>
      </c>
      <c r="C22" s="9">
        <v>-3.0173397286825027E-2</v>
      </c>
      <c r="D22" s="31">
        <v>-3.7057255497550401E-2</v>
      </c>
      <c r="E22" s="99">
        <v>-3.553981940889904E-2</v>
      </c>
      <c r="F22" s="9">
        <v>-3.0205316509912952E-2</v>
      </c>
      <c r="G22" s="31">
        <v>-3.7096046398026487E-2</v>
      </c>
      <c r="H22" s="99">
        <f t="shared" si="6"/>
        <v>-3.5522282405020526E-2</v>
      </c>
      <c r="I22" s="9">
        <f t="shared" si="7"/>
        <v>-3.0189356898368991E-2</v>
      </c>
      <c r="J22" s="31">
        <f t="shared" si="8"/>
        <v>-3.7076650947788448E-2</v>
      </c>
      <c r="K22" s="99">
        <v>-3.8513102303995017E-2</v>
      </c>
      <c r="L22" s="9">
        <v>-1.4679469043186344E-2</v>
      </c>
      <c r="M22" s="31">
        <v>-9.1323027884105921E-3</v>
      </c>
      <c r="N22" s="99">
        <v>-3.8513102303995017E-2</v>
      </c>
      <c r="O22" s="9">
        <v>-1.4679469043186344E-2</v>
      </c>
      <c r="P22" s="31">
        <v>-9.1323027884105921E-3</v>
      </c>
      <c r="Q22" s="99">
        <f t="shared" si="9"/>
        <v>-3.8513102303995017E-2</v>
      </c>
      <c r="R22" s="9">
        <f t="shared" si="1"/>
        <v>-1.4679469043186344E-2</v>
      </c>
      <c r="S22" s="31">
        <f t="shared" si="2"/>
        <v>-9.1323027884105921E-3</v>
      </c>
      <c r="T22" s="99">
        <v>-1.0960307113778271E-2</v>
      </c>
      <c r="U22" s="9">
        <v>-1.9887168141449085E-2</v>
      </c>
      <c r="V22" s="31">
        <v>-3.0554449130035702E-2</v>
      </c>
      <c r="W22" s="9">
        <v>-1.096991643097282E-2</v>
      </c>
      <c r="X22" s="9">
        <v>-1.9908252994095255E-2</v>
      </c>
      <c r="Y22" s="31">
        <v>-3.0586111239200436E-2</v>
      </c>
      <c r="Z22" s="99">
        <f t="shared" si="10"/>
        <v>-1.0965111772375545E-2</v>
      </c>
      <c r="AA22" s="9">
        <f t="shared" si="3"/>
        <v>-1.9897710567772169E-2</v>
      </c>
      <c r="AB22" s="31">
        <f t="shared" si="4"/>
        <v>-3.0570280184618069E-2</v>
      </c>
      <c r="AC22" s="101">
        <f t="shared" si="11"/>
        <v>-2.8333498827130366E-2</v>
      </c>
      <c r="AD22" s="90">
        <f t="shared" si="12"/>
        <v>-2.1588845503109171E-2</v>
      </c>
      <c r="AE22" s="102">
        <f t="shared" si="13"/>
        <v>-2.5593077973605705E-2</v>
      </c>
    </row>
    <row r="23" spans="1:32" x14ac:dyDescent="0.45">
      <c r="A23" s="29">
        <v>20</v>
      </c>
      <c r="B23" s="99">
        <v>-3.5138738870904913E-2</v>
      </c>
      <c r="C23" s="9">
        <v>-3.0036355407313416E-2</v>
      </c>
      <c r="D23" s="31">
        <v>-3.6978481414913257E-2</v>
      </c>
      <c r="E23" s="99">
        <v>-3.5138738870904913E-2</v>
      </c>
      <c r="F23" s="9">
        <v>-3.0036355407313416E-2</v>
      </c>
      <c r="G23" s="31">
        <v>-3.6978481414913257E-2</v>
      </c>
      <c r="H23" s="99">
        <f t="shared" si="6"/>
        <v>-3.5138738870904913E-2</v>
      </c>
      <c r="I23" s="9">
        <f t="shared" si="7"/>
        <v>-3.0036355407313416E-2</v>
      </c>
      <c r="J23" s="31">
        <f t="shared" si="8"/>
        <v>-3.6978481414913257E-2</v>
      </c>
      <c r="K23" s="99">
        <v>-3.8955908840989241E-2</v>
      </c>
      <c r="L23" s="9">
        <v>-1.4867705345737881E-2</v>
      </c>
      <c r="M23" s="31">
        <v>-9.2516007091241886E-3</v>
      </c>
      <c r="N23" s="99">
        <v>-3.8955908840989241E-2</v>
      </c>
      <c r="O23" s="9">
        <v>-1.4867705345737881E-2</v>
      </c>
      <c r="P23" s="31">
        <v>-9.2516007091241886E-3</v>
      </c>
      <c r="Q23" s="99">
        <f t="shared" si="9"/>
        <v>-3.8955908840989241E-2</v>
      </c>
      <c r="R23" s="9">
        <f t="shared" si="1"/>
        <v>-1.4867705345737881E-2</v>
      </c>
      <c r="S23" s="31">
        <f t="shared" si="2"/>
        <v>-9.2516007091241886E-3</v>
      </c>
      <c r="T23" s="99">
        <v>-1.0576217218321448E-2</v>
      </c>
      <c r="U23" s="9">
        <v>-1.974060900636803E-2</v>
      </c>
      <c r="V23" s="31">
        <v>-3.0467011100124636E-2</v>
      </c>
      <c r="W23" s="9">
        <v>-1.0576217218321448E-2</v>
      </c>
      <c r="X23" s="9">
        <v>-1.974060900636803E-2</v>
      </c>
      <c r="Y23" s="31">
        <v>-3.0467011100124636E-2</v>
      </c>
      <c r="Z23" s="99">
        <f t="shared" si="10"/>
        <v>-1.0576217218321448E-2</v>
      </c>
      <c r="AA23" s="9">
        <f t="shared" si="3"/>
        <v>-1.974060900636803E-2</v>
      </c>
      <c r="AB23" s="31">
        <f t="shared" si="4"/>
        <v>-3.0467011100124636E-2</v>
      </c>
      <c r="AC23" s="101">
        <f t="shared" si="11"/>
        <v>-2.8223621643405198E-2</v>
      </c>
      <c r="AD23" s="90">
        <f t="shared" si="12"/>
        <v>-2.1548223253139775E-2</v>
      </c>
      <c r="AE23" s="102">
        <f t="shared" si="13"/>
        <v>-2.5565697741387363E-2</v>
      </c>
    </row>
    <row r="24" spans="1:32" x14ac:dyDescent="0.45">
      <c r="A24" s="29">
        <v>21</v>
      </c>
      <c r="B24" s="99">
        <v>-3.4271682570363192E-2</v>
      </c>
      <c r="C24" s="9">
        <v>-2.9670734185068243E-2</v>
      </c>
      <c r="D24" s="31">
        <v>-3.6723756626710617E-2</v>
      </c>
      <c r="E24" s="99">
        <v>-3.4271682570363192E-2</v>
      </c>
      <c r="F24" s="9">
        <v>-2.9670734185068243E-2</v>
      </c>
      <c r="G24" s="31">
        <v>-3.6723756626710617E-2</v>
      </c>
      <c r="H24" s="99">
        <f t="shared" si="6"/>
        <v>-3.4271682570363192E-2</v>
      </c>
      <c r="I24" s="9">
        <f t="shared" si="7"/>
        <v>-2.9670734185068243E-2</v>
      </c>
      <c r="J24" s="31">
        <f t="shared" si="8"/>
        <v>-3.6723756626710617E-2</v>
      </c>
      <c r="K24" s="99">
        <v>-3.9907253205798875E-2</v>
      </c>
      <c r="L24" s="9">
        <v>-1.5272634449800787E-2</v>
      </c>
      <c r="M24" s="31">
        <v>-9.5081330239105352E-3</v>
      </c>
      <c r="N24" s="99">
        <v>-3.9907253205798875E-2</v>
      </c>
      <c r="O24" s="9">
        <v>-1.5272634449800787E-2</v>
      </c>
      <c r="P24" s="31">
        <v>-9.5081330239105352E-3</v>
      </c>
      <c r="Q24" s="99">
        <f t="shared" si="9"/>
        <v>-3.9907253205798875E-2</v>
      </c>
      <c r="R24" s="9">
        <f t="shared" si="1"/>
        <v>-1.5272634449800787E-2</v>
      </c>
      <c r="S24" s="31">
        <f t="shared" si="2"/>
        <v>-9.5081330239105352E-3</v>
      </c>
      <c r="T24" s="99">
        <v>-1.0510833248646207E-2</v>
      </c>
      <c r="U24" s="9">
        <v>-1.9709090180781545E-2</v>
      </c>
      <c r="V24" s="31">
        <v>-3.042079616342841E-2</v>
      </c>
      <c r="W24" s="9">
        <v>-1.0510833248646207E-2</v>
      </c>
      <c r="X24" s="9">
        <v>-1.9709090180781545E-2</v>
      </c>
      <c r="Y24" s="31">
        <v>-3.042079616342841E-2</v>
      </c>
      <c r="Z24" s="99">
        <f t="shared" si="10"/>
        <v>-1.0510833248646207E-2</v>
      </c>
      <c r="AA24" s="9">
        <f t="shared" si="3"/>
        <v>-1.9709090180781545E-2</v>
      </c>
      <c r="AB24" s="31">
        <f t="shared" si="4"/>
        <v>-3.042079616342841E-2</v>
      </c>
      <c r="AC24" s="101">
        <f t="shared" si="11"/>
        <v>-2.8229923008269427E-2</v>
      </c>
      <c r="AD24" s="90">
        <f t="shared" si="12"/>
        <v>-2.1550819605216858E-2</v>
      </c>
      <c r="AE24" s="102">
        <f t="shared" si="13"/>
        <v>-2.5550895271349853E-2</v>
      </c>
    </row>
    <row r="25" spans="1:32" x14ac:dyDescent="0.45">
      <c r="A25" s="29">
        <v>22</v>
      </c>
      <c r="B25" s="99">
        <v>-3.2540230809487806E-2</v>
      </c>
      <c r="C25" s="9">
        <v>-2.8940565331130954E-2</v>
      </c>
      <c r="D25" s="31">
        <v>-3.6213977935472791E-2</v>
      </c>
      <c r="E25" s="99">
        <v>-3.2540230809487806E-2</v>
      </c>
      <c r="F25" s="9">
        <v>-2.8940565331130954E-2</v>
      </c>
      <c r="G25" s="31">
        <v>-3.6213977935472791E-2</v>
      </c>
      <c r="H25" s="99">
        <f t="shared" si="6"/>
        <v>-3.2540230809487806E-2</v>
      </c>
      <c r="I25" s="9">
        <f t="shared" si="7"/>
        <v>-2.8940565331130954E-2</v>
      </c>
      <c r="J25" s="31">
        <f t="shared" si="8"/>
        <v>-3.6213977935472791E-2</v>
      </c>
      <c r="K25" s="99">
        <v>-4.1799802979652335E-2</v>
      </c>
      <c r="L25" s="9">
        <v>-1.6081055373071779E-2</v>
      </c>
      <c r="M25" s="31">
        <v>-1.0020677833745772E-2</v>
      </c>
      <c r="N25" s="99">
        <v>-4.1799802979652335E-2</v>
      </c>
      <c r="O25" s="9">
        <v>-1.6081055373071779E-2</v>
      </c>
      <c r="P25" s="31">
        <v>-1.0020677833745772E-2</v>
      </c>
      <c r="Q25" s="99">
        <f t="shared" si="9"/>
        <v>-4.1799802979652335E-2</v>
      </c>
      <c r="R25" s="9">
        <f t="shared" si="1"/>
        <v>-1.6081055373071779E-2</v>
      </c>
      <c r="S25" s="31">
        <f t="shared" si="2"/>
        <v>-1.0020677833745772E-2</v>
      </c>
      <c r="T25" s="99">
        <v>-1.0533716266421286E-2</v>
      </c>
      <c r="U25" s="9">
        <v>-1.9711731961988641E-2</v>
      </c>
      <c r="V25" s="31">
        <v>-3.0371238026203624E-2</v>
      </c>
      <c r="W25" s="9">
        <v>-1.0533716266421286E-2</v>
      </c>
      <c r="X25" s="9">
        <v>-1.9711731961988641E-2</v>
      </c>
      <c r="Y25" s="31">
        <v>-3.0371238026203624E-2</v>
      </c>
      <c r="Z25" s="99">
        <f t="shared" si="10"/>
        <v>-1.0533716266421286E-2</v>
      </c>
      <c r="AA25" s="9">
        <f t="shared" si="3"/>
        <v>-1.9711731961988641E-2</v>
      </c>
      <c r="AB25" s="31">
        <f t="shared" si="4"/>
        <v>-3.0371238026203624E-2</v>
      </c>
      <c r="AC25" s="101">
        <f t="shared" si="11"/>
        <v>-2.8291250018520477E-2</v>
      </c>
      <c r="AD25" s="90">
        <f t="shared" si="12"/>
        <v>-2.157778422206379E-2</v>
      </c>
      <c r="AE25" s="102">
        <f t="shared" si="13"/>
        <v>-2.5535297931807394E-2</v>
      </c>
    </row>
    <row r="26" spans="1:32" x14ac:dyDescent="0.45">
      <c r="A26" s="29">
        <v>23</v>
      </c>
      <c r="B26" s="99">
        <v>-3.0428661439555822E-2</v>
      </c>
      <c r="C26" s="9">
        <v>-2.8048868866180306E-2</v>
      </c>
      <c r="D26" s="31">
        <v>-3.5590501980471659E-2</v>
      </c>
      <c r="E26" s="99">
        <v>-3.0428661439555822E-2</v>
      </c>
      <c r="F26" s="9">
        <v>-2.8048868866180306E-2</v>
      </c>
      <c r="G26" s="31">
        <v>-3.5590501980471659E-2</v>
      </c>
      <c r="H26" s="99">
        <f t="shared" si="6"/>
        <v>-3.0428661439555822E-2</v>
      </c>
      <c r="I26" s="9">
        <f t="shared" si="7"/>
        <v>-2.8048868866180306E-2</v>
      </c>
      <c r="J26" s="31">
        <f t="shared" si="8"/>
        <v>-3.5590501980471659E-2</v>
      </c>
      <c r="K26" s="99">
        <v>-4.4029657312122703E-2</v>
      </c>
      <c r="L26" s="9">
        <v>-1.7037245936104867E-2</v>
      </c>
      <c r="M26" s="31">
        <v>-1.0628182697950694E-2</v>
      </c>
      <c r="N26" s="99">
        <v>-4.4029657312122703E-2</v>
      </c>
      <c r="O26" s="9">
        <v>-1.7037245936104867E-2</v>
      </c>
      <c r="P26" s="31">
        <v>-1.0628182697950694E-2</v>
      </c>
      <c r="Q26" s="99">
        <f t="shared" si="9"/>
        <v>-4.4029657312122703E-2</v>
      </c>
      <c r="R26" s="9">
        <f t="shared" si="1"/>
        <v>-1.7037245936104867E-2</v>
      </c>
      <c r="S26" s="31">
        <f t="shared" si="2"/>
        <v>-1.0628182697950694E-2</v>
      </c>
      <c r="T26" s="99">
        <v>-1.0548372313815887E-2</v>
      </c>
      <c r="U26" s="9">
        <v>-1.9712669754798719E-2</v>
      </c>
      <c r="V26" s="31">
        <v>-3.0313441713707985E-2</v>
      </c>
      <c r="W26" s="9">
        <v>-1.0548372313815887E-2</v>
      </c>
      <c r="X26" s="9">
        <v>-1.9712669754798719E-2</v>
      </c>
      <c r="Y26" s="31">
        <v>-3.0313441713707985E-2</v>
      </c>
      <c r="Z26" s="99">
        <f t="shared" si="10"/>
        <v>-1.0548372313815887E-2</v>
      </c>
      <c r="AA26" s="9">
        <f t="shared" si="3"/>
        <v>-1.9712669754798719E-2</v>
      </c>
      <c r="AB26" s="31">
        <f t="shared" si="4"/>
        <v>-3.0313441713707985E-2</v>
      </c>
      <c r="AC26" s="101">
        <f t="shared" si="11"/>
        <v>-2.8335563688498138E-2</v>
      </c>
      <c r="AD26" s="90">
        <f t="shared" si="12"/>
        <v>-2.1599594852361296E-2</v>
      </c>
      <c r="AE26" s="102">
        <f t="shared" si="13"/>
        <v>-2.5510708797376779E-2</v>
      </c>
    </row>
    <row r="27" spans="1:32" ht="14.65" thickBot="1" x14ac:dyDescent="0.5">
      <c r="A27" s="32">
        <v>24</v>
      </c>
      <c r="B27" s="98">
        <v>-2.9637082377956234E-2</v>
      </c>
      <c r="C27" s="71">
        <v>-2.7715256017469984E-2</v>
      </c>
      <c r="D27" s="33">
        <v>-3.5329925142721555E-2</v>
      </c>
      <c r="E27" s="98">
        <v>-2.9637082377956234E-2</v>
      </c>
      <c r="F27" s="71">
        <v>-2.7715256017469984E-2</v>
      </c>
      <c r="G27" s="33">
        <v>-3.5329925142721555E-2</v>
      </c>
      <c r="H27" s="98">
        <f t="shared" si="6"/>
        <v>-2.9637082377956234E-2</v>
      </c>
      <c r="I27" s="71">
        <f t="shared" si="7"/>
        <v>-2.7715256017469984E-2</v>
      </c>
      <c r="J27" s="33">
        <f t="shared" si="8"/>
        <v>-3.5329925142721555E-2</v>
      </c>
      <c r="K27" s="98">
        <v>-4.5845994557326832E-2</v>
      </c>
      <c r="L27" s="71">
        <v>-1.7819538644449143E-2</v>
      </c>
      <c r="M27" s="33">
        <v>-1.1126702511150039E-2</v>
      </c>
      <c r="N27" s="98">
        <v>-4.5845994557326832E-2</v>
      </c>
      <c r="O27" s="71">
        <v>-1.7819538644449143E-2</v>
      </c>
      <c r="P27" s="33">
        <v>-1.1126702511150039E-2</v>
      </c>
      <c r="Q27" s="98">
        <f t="shared" si="9"/>
        <v>-4.5845994557326832E-2</v>
      </c>
      <c r="R27" s="71">
        <f t="shared" si="1"/>
        <v>-1.7819538644449143E-2</v>
      </c>
      <c r="S27" s="33">
        <f t="shared" si="2"/>
        <v>-1.1126702511150039E-2</v>
      </c>
      <c r="T27" s="98">
        <v>-1.0560055854839606E-2</v>
      </c>
      <c r="U27" s="71">
        <v>-1.9708435452062134E-2</v>
      </c>
      <c r="V27" s="33">
        <v>-3.0255897454571707E-2</v>
      </c>
      <c r="W27" s="71">
        <v>-1.0560055854839606E-2</v>
      </c>
      <c r="X27" s="71">
        <v>-1.9708435452062134E-2</v>
      </c>
      <c r="Y27" s="33">
        <v>-3.0255897454571707E-2</v>
      </c>
      <c r="Z27" s="98">
        <f t="shared" si="10"/>
        <v>-1.0560055854839606E-2</v>
      </c>
      <c r="AA27" s="71">
        <f t="shared" si="3"/>
        <v>-1.9708435452062134E-2</v>
      </c>
      <c r="AB27" s="33">
        <f t="shared" si="4"/>
        <v>-3.0255897454571707E-2</v>
      </c>
      <c r="AC27" s="103">
        <f t="shared" si="11"/>
        <v>-2.8681044263374224E-2</v>
      </c>
      <c r="AD27" s="104">
        <f t="shared" si="12"/>
        <v>-2.1747743371327084E-2</v>
      </c>
      <c r="AE27" s="105">
        <f t="shared" si="13"/>
        <v>-2.5570841702814432E-2</v>
      </c>
    </row>
    <row r="28" spans="1:32" x14ac:dyDescent="0.45">
      <c r="AB28" s="6" t="s">
        <v>54</v>
      </c>
      <c r="AC28" s="13">
        <f>AVERAGE(AC4:AC27)</f>
        <v>-2.7793343077484666E-2</v>
      </c>
      <c r="AD28" s="13">
        <f t="shared" ref="AD28:AE28" si="14">AVERAGE(AD4:AD27)</f>
        <v>-2.0840400416720844E-2</v>
      </c>
      <c r="AE28" s="13">
        <f t="shared" si="14"/>
        <v>-2.4476348057030139E-2</v>
      </c>
      <c r="AF28" s="13">
        <f>AVERAGE(AC28:AE28)</f>
        <v>-2.4370030517078551E-2</v>
      </c>
    </row>
    <row r="32" spans="1:32" x14ac:dyDescent="0.45">
      <c r="B32" s="2" t="s">
        <v>70</v>
      </c>
      <c r="E32" s="2">
        <v>0.04</v>
      </c>
      <c r="F32" s="2">
        <v>0.09</v>
      </c>
      <c r="G32" s="2">
        <v>0.14000000000000001</v>
      </c>
    </row>
    <row r="33" spans="2:21" x14ac:dyDescent="0.45">
      <c r="B33" s="2">
        <f>AVERAGE(B4:J27)</f>
        <v>-3.0767333442681608E-2</v>
      </c>
      <c r="E33" s="2">
        <f>AVERAGE(B4:B27,E4:E27,H4:H27)</f>
        <v>-3.0643042608137532E-2</v>
      </c>
      <c r="F33" s="2">
        <f>AVERAGE(C4:C27,F4:F27,I4:I27)</f>
        <v>-2.7344655417452859E-2</v>
      </c>
      <c r="G33" s="2">
        <f>AVERAGE(D4:D27,G4:G27,J4:J26)</f>
        <v>-3.4299997755408339E-2</v>
      </c>
      <c r="S33" s="2">
        <f>AVERAGE(T4:T27,W4:W27,Z4:Z27)</f>
        <v>-1.0219974562503117E-2</v>
      </c>
      <c r="T33" s="2">
        <f t="shared" ref="T33:U33" si="15">AVERAGE(U4:U27,X4:X27,AA4:AA27)</f>
        <v>-1.8784398079805181E-2</v>
      </c>
      <c r="U33" s="2">
        <f t="shared" si="15"/>
        <v>-2.88970879967019E-2</v>
      </c>
    </row>
  </sheetData>
  <mergeCells count="15">
    <mergeCell ref="A1:A2"/>
    <mergeCell ref="B1:D1"/>
    <mergeCell ref="E1:G1"/>
    <mergeCell ref="H1:J1"/>
    <mergeCell ref="B2:D2"/>
    <mergeCell ref="E2:G2"/>
    <mergeCell ref="H2:J2"/>
    <mergeCell ref="AC1:AE1"/>
    <mergeCell ref="AC2:AE2"/>
    <mergeCell ref="K2:M2"/>
    <mergeCell ref="N2:P2"/>
    <mergeCell ref="Q2:S2"/>
    <mergeCell ref="T2:V2"/>
    <mergeCell ref="W2:Y2"/>
    <mergeCell ref="Z2:A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Western Loads MW Calculations</vt:lpstr>
      <vt:lpstr>Dx Feeder Cost Savings</vt:lpstr>
      <vt:lpstr>IEEE 14-Bus Cost Savings</vt:lpstr>
      <vt:lpstr>IEEE 14-bus MW reduction data</vt:lpstr>
      <vt:lpstr>IEEE 14-bus % reduction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Emma</dc:creator>
  <cp:lastModifiedBy>Wang, Emma</cp:lastModifiedBy>
  <dcterms:created xsi:type="dcterms:W3CDTF">2026-03-18T18:52:09Z</dcterms:created>
  <dcterms:modified xsi:type="dcterms:W3CDTF">2026-03-25T21:49:25Z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804de9-5306-4a8f-920e-16c68d5498ba_Enabled">
    <vt:lpwstr>true</vt:lpwstr>
  </property>
  <property fmtid="{D5CDD505-2E9C-101B-9397-08002B2CF9AE}" pid="3" name="MSIP_Label_9e804de9-5306-4a8f-920e-16c68d5498ba_SetDate">
    <vt:lpwstr>2026-03-18T18:53:12Z</vt:lpwstr>
  </property>
  <property fmtid="{D5CDD505-2E9C-101B-9397-08002B2CF9AE}" pid="4" name="MSIP_Label_9e804de9-5306-4a8f-920e-16c68d5498ba_Method">
    <vt:lpwstr>Standard</vt:lpwstr>
  </property>
  <property fmtid="{D5CDD505-2E9C-101B-9397-08002B2CF9AE}" pid="5" name="MSIP_Label_9e804de9-5306-4a8f-920e-16c68d5498ba_Name">
    <vt:lpwstr>Public</vt:lpwstr>
  </property>
  <property fmtid="{D5CDD505-2E9C-101B-9397-08002B2CF9AE}" pid="6" name="MSIP_Label_9e804de9-5306-4a8f-920e-16c68d5498ba_SiteId">
    <vt:lpwstr>547040db-1855-4320-9738-e6878f6271fc</vt:lpwstr>
  </property>
  <property fmtid="{D5CDD505-2E9C-101B-9397-08002B2CF9AE}" pid="7" name="MSIP_Label_9e804de9-5306-4a8f-920e-16c68d5498ba_ActionId">
    <vt:lpwstr>55069bac-97e0-40e5-abcd-ee704cf41ed8</vt:lpwstr>
  </property>
  <property fmtid="{D5CDD505-2E9C-101B-9397-08002B2CF9AE}" pid="8" name="MSIP_Label_9e804de9-5306-4a8f-920e-16c68d5498ba_ContentBits">
    <vt:lpwstr>0</vt:lpwstr>
  </property>
  <property fmtid="{D5CDD505-2E9C-101B-9397-08002B2CF9AE}" pid="9" name="MSIP_Label_9e804de9-5306-4a8f-920e-16c68d5498ba_Tag">
    <vt:lpwstr>10, 3, 0, 1</vt:lpwstr>
  </property>
</Properties>
</file>