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mmaY\Documents\Eng + Ivey Year 5\Capstone\IEEE 14-bus system\"/>
    </mc:Choice>
  </mc:AlternateContent>
  <xr:revisionPtr revIDLastSave="0" documentId="8_{D0BC264D-A798-4316-8048-34886972BFE3}" xr6:coauthVersionLast="47" xr6:coauthVersionMax="47" xr10:uidLastSave="{00000000-0000-0000-0000-000000000000}"/>
  <bookViews>
    <workbookView xWindow="-98" yWindow="-98" windowWidth="19396" windowHeight="11475" xr2:uid="{4E1048BC-09F5-46CD-9F7A-FDA2A82C881B}"/>
  </bookViews>
  <sheets>
    <sheet name="Analysis" sheetId="8" r:id="rId1"/>
    <sheet name="Moderate sunny two 10 one 50" sheetId="5" r:id="rId2"/>
    <sheet name="Very sunny two 10 one 50" sheetId="6" r:id="rId3"/>
    <sheet name="cloudy two 10 one 50" sheetId="7" r:id="rId4"/>
    <sheet name="cloudy one 100" sheetId="4" r:id="rId5"/>
    <sheet name="very sunny one 100" sheetId="3" r:id="rId6"/>
    <sheet name="very sunny all 10" sheetId="2" r:id="rId7"/>
    <sheet name="cloudy all 10" sheetId="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7" i="2" l="1"/>
  <c r="AP26" i="2"/>
  <c r="AO26" i="2"/>
  <c r="AO27" i="2" s="1"/>
  <c r="AO3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" i="2"/>
  <c r="AN26" i="2"/>
  <c r="AN27" i="2" s="1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" i="2"/>
  <c r="AM2" i="2"/>
  <c r="AB13" i="8" l="1"/>
  <c r="AH13" i="8" s="1"/>
  <c r="AA18" i="8"/>
  <c r="AG18" i="8" s="1"/>
  <c r="AD10" i="8"/>
  <c r="AE10" i="8"/>
  <c r="AF10" i="8"/>
  <c r="AD11" i="8"/>
  <c r="AE11" i="8"/>
  <c r="AF11" i="8"/>
  <c r="AD12" i="8"/>
  <c r="AE12" i="8"/>
  <c r="AF12" i="8"/>
  <c r="AD13" i="8"/>
  <c r="AE13" i="8"/>
  <c r="AF13" i="8"/>
  <c r="AD14" i="8"/>
  <c r="AE14" i="8"/>
  <c r="AF14" i="8"/>
  <c r="AD15" i="8"/>
  <c r="AE15" i="8"/>
  <c r="AF15" i="8"/>
  <c r="AD16" i="8"/>
  <c r="AE16" i="8"/>
  <c r="AF16" i="8"/>
  <c r="AD17" i="8"/>
  <c r="AE17" i="8"/>
  <c r="AF17" i="8"/>
  <c r="AD18" i="8"/>
  <c r="AE18" i="8"/>
  <c r="AF18" i="8"/>
  <c r="AD19" i="8"/>
  <c r="AE19" i="8"/>
  <c r="AF19" i="8"/>
  <c r="AD20" i="8"/>
  <c r="AE20" i="8"/>
  <c r="AF20" i="8"/>
  <c r="AD21" i="8"/>
  <c r="AE21" i="8"/>
  <c r="AF21" i="8"/>
  <c r="AD22" i="8"/>
  <c r="AE22" i="8"/>
  <c r="AF22" i="8"/>
  <c r="AD23" i="8"/>
  <c r="AE23" i="8"/>
  <c r="AF23" i="8"/>
  <c r="AD24" i="8"/>
  <c r="AE24" i="8"/>
  <c r="AF24" i="8"/>
  <c r="AD25" i="8"/>
  <c r="AE25" i="8"/>
  <c r="AF25" i="8"/>
  <c r="AD26" i="8"/>
  <c r="AE26" i="8"/>
  <c r="AF26" i="8"/>
  <c r="AD27" i="8"/>
  <c r="AE27" i="8"/>
  <c r="AF27" i="8"/>
  <c r="AD28" i="8"/>
  <c r="AE28" i="8"/>
  <c r="AF28" i="8"/>
  <c r="AD29" i="8"/>
  <c r="AE29" i="8"/>
  <c r="AF29" i="8"/>
  <c r="AD30" i="8"/>
  <c r="AE30" i="8"/>
  <c r="AF30" i="8"/>
  <c r="AD31" i="8"/>
  <c r="AE31" i="8"/>
  <c r="AF31" i="8"/>
  <c r="AD32" i="8"/>
  <c r="AE32" i="8"/>
  <c r="AF32" i="8"/>
  <c r="AE9" i="8"/>
  <c r="AF9" i="8"/>
  <c r="AD9" i="8"/>
  <c r="S10" i="8"/>
  <c r="T10" i="8"/>
  <c r="U10" i="8"/>
  <c r="S11" i="8"/>
  <c r="T11" i="8"/>
  <c r="U11" i="8"/>
  <c r="S12" i="8"/>
  <c r="T12" i="8"/>
  <c r="U12" i="8"/>
  <c r="S13" i="8"/>
  <c r="T13" i="8"/>
  <c r="U13" i="8"/>
  <c r="S14" i="8"/>
  <c r="T14" i="8"/>
  <c r="U14" i="8"/>
  <c r="S15" i="8"/>
  <c r="T15" i="8"/>
  <c r="U15" i="8"/>
  <c r="S16" i="8"/>
  <c r="T16" i="8"/>
  <c r="U16" i="8"/>
  <c r="S17" i="8"/>
  <c r="T17" i="8"/>
  <c r="U17" i="8"/>
  <c r="S18" i="8"/>
  <c r="T18" i="8"/>
  <c r="U18" i="8"/>
  <c r="S19" i="8"/>
  <c r="T19" i="8"/>
  <c r="U19" i="8"/>
  <c r="S20" i="8"/>
  <c r="T20" i="8"/>
  <c r="U20" i="8"/>
  <c r="S21" i="8"/>
  <c r="T21" i="8"/>
  <c r="U21" i="8"/>
  <c r="S22" i="8"/>
  <c r="T22" i="8"/>
  <c r="U22" i="8"/>
  <c r="S23" i="8"/>
  <c r="T23" i="8"/>
  <c r="U23" i="8"/>
  <c r="S24" i="8"/>
  <c r="T24" i="8"/>
  <c r="U24" i="8"/>
  <c r="S25" i="8"/>
  <c r="T25" i="8"/>
  <c r="U25" i="8"/>
  <c r="S26" i="8"/>
  <c r="T26" i="8"/>
  <c r="U26" i="8"/>
  <c r="S27" i="8"/>
  <c r="T27" i="8"/>
  <c r="U27" i="8"/>
  <c r="S28" i="8"/>
  <c r="T28" i="8"/>
  <c r="U28" i="8"/>
  <c r="S29" i="8"/>
  <c r="T29" i="8"/>
  <c r="U29" i="8"/>
  <c r="S30" i="8"/>
  <c r="T30" i="8"/>
  <c r="U30" i="8"/>
  <c r="S31" i="8"/>
  <c r="T31" i="8"/>
  <c r="U31" i="8"/>
  <c r="S32" i="8"/>
  <c r="T32" i="8"/>
  <c r="U32" i="8"/>
  <c r="T9" i="8"/>
  <c r="U9" i="8"/>
  <c r="P12" i="8"/>
  <c r="V12" i="8" s="1"/>
  <c r="P16" i="8"/>
  <c r="P17" i="8"/>
  <c r="V17" i="8" s="1"/>
  <c r="P20" i="8"/>
  <c r="P24" i="8"/>
  <c r="P25" i="8"/>
  <c r="V25" i="8" s="1"/>
  <c r="P28" i="8"/>
  <c r="V28" i="8" s="1"/>
  <c r="P32" i="8"/>
  <c r="Q9" i="8"/>
  <c r="S9" i="8"/>
  <c r="H10" i="8"/>
  <c r="I10" i="8"/>
  <c r="J10" i="8"/>
  <c r="H11" i="8"/>
  <c r="I11" i="8"/>
  <c r="J11" i="8"/>
  <c r="H12" i="8"/>
  <c r="I12" i="8"/>
  <c r="J12" i="8"/>
  <c r="H13" i="8"/>
  <c r="I13" i="8"/>
  <c r="J13" i="8"/>
  <c r="H14" i="8"/>
  <c r="I14" i="8"/>
  <c r="J14" i="8"/>
  <c r="H15" i="8"/>
  <c r="I15" i="8"/>
  <c r="J15" i="8"/>
  <c r="H16" i="8"/>
  <c r="I16" i="8"/>
  <c r="J16" i="8"/>
  <c r="H17" i="8"/>
  <c r="I17" i="8"/>
  <c r="J17" i="8"/>
  <c r="H18" i="8"/>
  <c r="I18" i="8"/>
  <c r="J18" i="8"/>
  <c r="H19" i="8"/>
  <c r="I19" i="8"/>
  <c r="J19" i="8"/>
  <c r="H20" i="8"/>
  <c r="I20" i="8"/>
  <c r="J20" i="8"/>
  <c r="H21" i="8"/>
  <c r="I21" i="8"/>
  <c r="J21" i="8"/>
  <c r="H22" i="8"/>
  <c r="I22" i="8"/>
  <c r="J22" i="8"/>
  <c r="H23" i="8"/>
  <c r="I23" i="8"/>
  <c r="J23" i="8"/>
  <c r="H24" i="8"/>
  <c r="I24" i="8"/>
  <c r="J24" i="8"/>
  <c r="H25" i="8"/>
  <c r="I25" i="8"/>
  <c r="J25" i="8"/>
  <c r="H26" i="8"/>
  <c r="I26" i="8"/>
  <c r="J26" i="8"/>
  <c r="H27" i="8"/>
  <c r="I27" i="8"/>
  <c r="J27" i="8"/>
  <c r="H28" i="8"/>
  <c r="I28" i="8"/>
  <c r="J28" i="8"/>
  <c r="H29" i="8"/>
  <c r="I29" i="8"/>
  <c r="J29" i="8"/>
  <c r="H30" i="8"/>
  <c r="I30" i="8"/>
  <c r="J30" i="8"/>
  <c r="H31" i="8"/>
  <c r="I31" i="8"/>
  <c r="J31" i="8"/>
  <c r="H32" i="8"/>
  <c r="I32" i="8"/>
  <c r="J32" i="8"/>
  <c r="I9" i="8"/>
  <c r="J9" i="8"/>
  <c r="H9" i="8"/>
  <c r="E10" i="8"/>
  <c r="F10" i="8"/>
  <c r="G10" i="8"/>
  <c r="E11" i="8"/>
  <c r="F11" i="8"/>
  <c r="G11" i="8"/>
  <c r="E12" i="8"/>
  <c r="F12" i="8"/>
  <c r="G12" i="8"/>
  <c r="E13" i="8"/>
  <c r="F13" i="8"/>
  <c r="G13" i="8"/>
  <c r="E14" i="8"/>
  <c r="F14" i="8"/>
  <c r="G14" i="8"/>
  <c r="E15" i="8"/>
  <c r="F15" i="8"/>
  <c r="G15" i="8"/>
  <c r="E16" i="8"/>
  <c r="F16" i="8"/>
  <c r="G16" i="8"/>
  <c r="E17" i="8"/>
  <c r="F17" i="8"/>
  <c r="G17" i="8"/>
  <c r="E18" i="8"/>
  <c r="F18" i="8"/>
  <c r="G18" i="8"/>
  <c r="E19" i="8"/>
  <c r="F19" i="8"/>
  <c r="G19" i="8"/>
  <c r="E20" i="8"/>
  <c r="F20" i="8"/>
  <c r="G20" i="8"/>
  <c r="E21" i="8"/>
  <c r="F21" i="8"/>
  <c r="G21" i="8"/>
  <c r="E22" i="8"/>
  <c r="F22" i="8"/>
  <c r="G22" i="8"/>
  <c r="E23" i="8"/>
  <c r="F23" i="8"/>
  <c r="G23" i="8"/>
  <c r="E24" i="8"/>
  <c r="F24" i="8"/>
  <c r="G24" i="8"/>
  <c r="E25" i="8"/>
  <c r="F25" i="8"/>
  <c r="G25" i="8"/>
  <c r="E26" i="8"/>
  <c r="F26" i="8"/>
  <c r="G26" i="8"/>
  <c r="E27" i="8"/>
  <c r="F27" i="8"/>
  <c r="G27" i="8"/>
  <c r="E28" i="8"/>
  <c r="F28" i="8"/>
  <c r="G28" i="8"/>
  <c r="E29" i="8"/>
  <c r="F29" i="8"/>
  <c r="G29" i="8"/>
  <c r="E30" i="8"/>
  <c r="F30" i="8"/>
  <c r="G30" i="8"/>
  <c r="E31" i="8"/>
  <c r="F31" i="8"/>
  <c r="G31" i="8"/>
  <c r="E32" i="8"/>
  <c r="F32" i="8"/>
  <c r="G32" i="8"/>
  <c r="F9" i="8"/>
  <c r="G9" i="8"/>
  <c r="E9" i="8"/>
  <c r="B10" i="8"/>
  <c r="C10" i="8"/>
  <c r="D10" i="8"/>
  <c r="B11" i="8"/>
  <c r="C11" i="8"/>
  <c r="D11" i="8"/>
  <c r="B12" i="8"/>
  <c r="C12" i="8"/>
  <c r="D12" i="8"/>
  <c r="B13" i="8"/>
  <c r="C13" i="8"/>
  <c r="D13" i="8"/>
  <c r="M13" i="8" s="1"/>
  <c r="B14" i="8"/>
  <c r="C14" i="8"/>
  <c r="D14" i="8"/>
  <c r="B15" i="8"/>
  <c r="C15" i="8"/>
  <c r="D15" i="8"/>
  <c r="B16" i="8"/>
  <c r="C16" i="8"/>
  <c r="D16" i="8"/>
  <c r="B17" i="8"/>
  <c r="C17" i="8"/>
  <c r="D17" i="8"/>
  <c r="M17" i="8" s="1"/>
  <c r="B18" i="8"/>
  <c r="C18" i="8"/>
  <c r="D18" i="8"/>
  <c r="B19" i="8"/>
  <c r="C19" i="8"/>
  <c r="D19" i="8"/>
  <c r="B20" i="8"/>
  <c r="C20" i="8"/>
  <c r="D20" i="8"/>
  <c r="B21" i="8"/>
  <c r="C21" i="8"/>
  <c r="D21" i="8"/>
  <c r="M21" i="8" s="1"/>
  <c r="B22" i="8"/>
  <c r="C22" i="8"/>
  <c r="D22" i="8"/>
  <c r="B23" i="8"/>
  <c r="C23" i="8"/>
  <c r="D23" i="8"/>
  <c r="B24" i="8"/>
  <c r="C24" i="8"/>
  <c r="D24" i="8"/>
  <c r="B25" i="8"/>
  <c r="C25" i="8"/>
  <c r="D25" i="8"/>
  <c r="M25" i="8" s="1"/>
  <c r="B26" i="8"/>
  <c r="C26" i="8"/>
  <c r="D26" i="8"/>
  <c r="B27" i="8"/>
  <c r="C27" i="8"/>
  <c r="D27" i="8"/>
  <c r="B28" i="8"/>
  <c r="C28" i="8"/>
  <c r="D28" i="8"/>
  <c r="B29" i="8"/>
  <c r="C29" i="8"/>
  <c r="D29" i="8"/>
  <c r="M29" i="8" s="1"/>
  <c r="B30" i="8"/>
  <c r="C30" i="8"/>
  <c r="D30" i="8"/>
  <c r="B31" i="8"/>
  <c r="C31" i="8"/>
  <c r="D31" i="8"/>
  <c r="B32" i="8"/>
  <c r="C32" i="8"/>
  <c r="D32" i="8"/>
  <c r="C9" i="8"/>
  <c r="D9" i="8"/>
  <c r="B9" i="8"/>
  <c r="AF3" i="1"/>
  <c r="AG3" i="1"/>
  <c r="AH3" i="1"/>
  <c r="AK3" i="1" s="1"/>
  <c r="AI3" i="1"/>
  <c r="AJ3" i="1"/>
  <c r="AF4" i="1"/>
  <c r="AG4" i="1"/>
  <c r="AH4" i="1"/>
  <c r="AI4" i="1"/>
  <c r="AJ4" i="1"/>
  <c r="AK4" i="1"/>
  <c r="AF5" i="1"/>
  <c r="AG5" i="1"/>
  <c r="AH5" i="1"/>
  <c r="AK5" i="1" s="1"/>
  <c r="AI5" i="1"/>
  <c r="AJ5" i="1"/>
  <c r="AF6" i="1"/>
  <c r="AG6" i="1"/>
  <c r="AH6" i="1"/>
  <c r="AI6" i="1"/>
  <c r="AJ6" i="1"/>
  <c r="AK6" i="1"/>
  <c r="AF7" i="1"/>
  <c r="AG7" i="1"/>
  <c r="AH7" i="1"/>
  <c r="AK7" i="1" s="1"/>
  <c r="AI7" i="1"/>
  <c r="AJ7" i="1"/>
  <c r="AF8" i="1"/>
  <c r="AG8" i="1"/>
  <c r="AH8" i="1"/>
  <c r="AI8" i="1"/>
  <c r="AJ8" i="1"/>
  <c r="AK8" i="1"/>
  <c r="AF9" i="1"/>
  <c r="AG9" i="1"/>
  <c r="AH9" i="1"/>
  <c r="AK9" i="1" s="1"/>
  <c r="AI9" i="1"/>
  <c r="AJ9" i="1"/>
  <c r="AF10" i="1"/>
  <c r="AG10" i="1"/>
  <c r="AH10" i="1"/>
  <c r="AI10" i="1"/>
  <c r="AJ10" i="1"/>
  <c r="AK10" i="1"/>
  <c r="AF11" i="1"/>
  <c r="AG11" i="1"/>
  <c r="AH11" i="1"/>
  <c r="AK11" i="1" s="1"/>
  <c r="AI11" i="1"/>
  <c r="AJ11" i="1"/>
  <c r="AF12" i="1"/>
  <c r="AG12" i="1"/>
  <c r="AH12" i="1"/>
  <c r="AI12" i="1"/>
  <c r="AJ12" i="1"/>
  <c r="AK12" i="1"/>
  <c r="AF13" i="1"/>
  <c r="AG13" i="1"/>
  <c r="AH13" i="1"/>
  <c r="AK13" i="1" s="1"/>
  <c r="AI13" i="1"/>
  <c r="AJ13" i="1"/>
  <c r="AF14" i="1"/>
  <c r="AG14" i="1"/>
  <c r="AH14" i="1"/>
  <c r="AI14" i="1"/>
  <c r="AJ14" i="1"/>
  <c r="AK14" i="1"/>
  <c r="AF15" i="1"/>
  <c r="AG15" i="1"/>
  <c r="AH15" i="1"/>
  <c r="AK15" i="1" s="1"/>
  <c r="AI15" i="1"/>
  <c r="AJ15" i="1"/>
  <c r="AF16" i="1"/>
  <c r="AG16" i="1"/>
  <c r="AH16" i="1"/>
  <c r="AI16" i="1"/>
  <c r="AJ16" i="1"/>
  <c r="AK16" i="1"/>
  <c r="AF17" i="1"/>
  <c r="AG17" i="1"/>
  <c r="AH17" i="1"/>
  <c r="AK17" i="1" s="1"/>
  <c r="AI17" i="1"/>
  <c r="AJ17" i="1"/>
  <c r="AF18" i="1"/>
  <c r="AG18" i="1"/>
  <c r="AH18" i="1"/>
  <c r="AI18" i="1"/>
  <c r="AJ18" i="1"/>
  <c r="AK18" i="1"/>
  <c r="AF19" i="1"/>
  <c r="AG19" i="1"/>
  <c r="AH19" i="1"/>
  <c r="AK19" i="1" s="1"/>
  <c r="AI19" i="1"/>
  <c r="AJ19" i="1"/>
  <c r="AF20" i="1"/>
  <c r="AG20" i="1"/>
  <c r="AH20" i="1"/>
  <c r="AI20" i="1"/>
  <c r="AJ20" i="1"/>
  <c r="AK20" i="1"/>
  <c r="AF21" i="1"/>
  <c r="AG21" i="1"/>
  <c r="AH21" i="1"/>
  <c r="AK21" i="1" s="1"/>
  <c r="AI21" i="1"/>
  <c r="AJ21" i="1"/>
  <c r="AF22" i="1"/>
  <c r="AG22" i="1"/>
  <c r="AH22" i="1"/>
  <c r="AI22" i="1"/>
  <c r="AJ22" i="1"/>
  <c r="AK22" i="1"/>
  <c r="AF23" i="1"/>
  <c r="AG23" i="1"/>
  <c r="AH23" i="1"/>
  <c r="AK23" i="1" s="1"/>
  <c r="AI23" i="1"/>
  <c r="AJ23" i="1"/>
  <c r="AF24" i="1"/>
  <c r="AG24" i="1"/>
  <c r="AH24" i="1"/>
  <c r="AI24" i="1"/>
  <c r="AJ24" i="1"/>
  <c r="AK24" i="1"/>
  <c r="AF25" i="1"/>
  <c r="AG25" i="1"/>
  <c r="AH25" i="1"/>
  <c r="AK25" i="1" s="1"/>
  <c r="AI25" i="1"/>
  <c r="AJ25" i="1"/>
  <c r="AK2" i="1"/>
  <c r="AH2" i="1"/>
  <c r="AG2" i="1"/>
  <c r="AJ2" i="1" s="1"/>
  <c r="AF2" i="1"/>
  <c r="AI2" i="1" s="1"/>
  <c r="AF3" i="2"/>
  <c r="AI3" i="2" s="1"/>
  <c r="AA10" i="8" s="1"/>
  <c r="AG3" i="2"/>
  <c r="AH3" i="2"/>
  <c r="AK3" i="2" s="1"/>
  <c r="AC10" i="8" s="1"/>
  <c r="AF4" i="2"/>
  <c r="AI4" i="2" s="1"/>
  <c r="AA11" i="8" s="1"/>
  <c r="AG4" i="2"/>
  <c r="AM4" i="2" s="1"/>
  <c r="AH4" i="2"/>
  <c r="AK4" i="2" s="1"/>
  <c r="AC11" i="8" s="1"/>
  <c r="AI11" i="8" s="1"/>
  <c r="AF5" i="2"/>
  <c r="AI5" i="2" s="1"/>
  <c r="AA12" i="8" s="1"/>
  <c r="AG5" i="2"/>
  <c r="AH5" i="2"/>
  <c r="AK5" i="2" s="1"/>
  <c r="AC12" i="8" s="1"/>
  <c r="AI12" i="8" s="1"/>
  <c r="AF6" i="2"/>
  <c r="AI6" i="2" s="1"/>
  <c r="AA13" i="8" s="1"/>
  <c r="AG6" i="2"/>
  <c r="AM6" i="2" s="1"/>
  <c r="AH6" i="2"/>
  <c r="AJ6" i="2"/>
  <c r="AK6" i="2"/>
  <c r="AC13" i="8" s="1"/>
  <c r="AF7" i="2"/>
  <c r="AI7" i="2" s="1"/>
  <c r="AA14" i="8" s="1"/>
  <c r="AG7" i="2"/>
  <c r="AH7" i="2"/>
  <c r="AK7" i="2" s="1"/>
  <c r="AC14" i="8" s="1"/>
  <c r="AF8" i="2"/>
  <c r="AI8" i="2" s="1"/>
  <c r="AA15" i="8" s="1"/>
  <c r="AG15" i="8" s="1"/>
  <c r="AG8" i="2"/>
  <c r="AM8" i="2" s="1"/>
  <c r="AH8" i="2"/>
  <c r="AK8" i="2" s="1"/>
  <c r="AC15" i="8" s="1"/>
  <c r="AI15" i="8" s="1"/>
  <c r="AJ8" i="2"/>
  <c r="AB15" i="8" s="1"/>
  <c r="AF9" i="2"/>
  <c r="AI9" i="2" s="1"/>
  <c r="AA16" i="8" s="1"/>
  <c r="AG16" i="8" s="1"/>
  <c r="AG9" i="2"/>
  <c r="AH9" i="2"/>
  <c r="AK9" i="2" s="1"/>
  <c r="AC16" i="8" s="1"/>
  <c r="AI16" i="8" s="1"/>
  <c r="AF10" i="2"/>
  <c r="AI10" i="2" s="1"/>
  <c r="AA17" i="8" s="1"/>
  <c r="AG10" i="2"/>
  <c r="AM10" i="2" s="1"/>
  <c r="AH10" i="2"/>
  <c r="AK10" i="2" s="1"/>
  <c r="AC17" i="8" s="1"/>
  <c r="AF11" i="2"/>
  <c r="AI11" i="2" s="1"/>
  <c r="AG11" i="2"/>
  <c r="AH11" i="2"/>
  <c r="AK11" i="2" s="1"/>
  <c r="AC18" i="8" s="1"/>
  <c r="AF12" i="2"/>
  <c r="AI12" i="2" s="1"/>
  <c r="AA19" i="8" s="1"/>
  <c r="AG12" i="2"/>
  <c r="AM12" i="2" s="1"/>
  <c r="AH12" i="2"/>
  <c r="AK12" i="2" s="1"/>
  <c r="AC19" i="8" s="1"/>
  <c r="AI19" i="8" s="1"/>
  <c r="AF13" i="2"/>
  <c r="AI13" i="2" s="1"/>
  <c r="AA20" i="8" s="1"/>
  <c r="AG20" i="8" s="1"/>
  <c r="AG13" i="2"/>
  <c r="AH13" i="2"/>
  <c r="AK13" i="2" s="1"/>
  <c r="AC20" i="8" s="1"/>
  <c r="AI20" i="8" s="1"/>
  <c r="AF14" i="2"/>
  <c r="AI14" i="2" s="1"/>
  <c r="AA21" i="8" s="1"/>
  <c r="AG14" i="2"/>
  <c r="AM14" i="2" s="1"/>
  <c r="AH14" i="2"/>
  <c r="AK14" i="2"/>
  <c r="AC21" i="8" s="1"/>
  <c r="AF15" i="2"/>
  <c r="AI15" i="2" s="1"/>
  <c r="AA22" i="8" s="1"/>
  <c r="AG22" i="8" s="1"/>
  <c r="AG15" i="2"/>
  <c r="AH15" i="2"/>
  <c r="AK15" i="2" s="1"/>
  <c r="AC22" i="8" s="1"/>
  <c r="AF16" i="2"/>
  <c r="AI16" i="2" s="1"/>
  <c r="AA23" i="8" s="1"/>
  <c r="AG16" i="2"/>
  <c r="AM16" i="2" s="1"/>
  <c r="AH16" i="2"/>
  <c r="AK16" i="2" s="1"/>
  <c r="AC23" i="8" s="1"/>
  <c r="AI23" i="8" s="1"/>
  <c r="AF17" i="2"/>
  <c r="AI17" i="2" s="1"/>
  <c r="AA24" i="8" s="1"/>
  <c r="AG24" i="8" s="1"/>
  <c r="AG17" i="2"/>
  <c r="AH17" i="2"/>
  <c r="AK17" i="2" s="1"/>
  <c r="AC24" i="8" s="1"/>
  <c r="AI24" i="8" s="1"/>
  <c r="AF18" i="2"/>
  <c r="AI18" i="2" s="1"/>
  <c r="AA25" i="8" s="1"/>
  <c r="AG18" i="2"/>
  <c r="AM18" i="2" s="1"/>
  <c r="AH18" i="2"/>
  <c r="AK18" i="2" s="1"/>
  <c r="AC25" i="8" s="1"/>
  <c r="AJ18" i="2"/>
  <c r="AB25" i="8" s="1"/>
  <c r="AH25" i="8" s="1"/>
  <c r="AF19" i="2"/>
  <c r="AI19" i="2" s="1"/>
  <c r="AA26" i="8" s="1"/>
  <c r="AG26" i="8" s="1"/>
  <c r="AG19" i="2"/>
  <c r="AH19" i="2"/>
  <c r="AK19" i="2" s="1"/>
  <c r="AC26" i="8" s="1"/>
  <c r="AF20" i="2"/>
  <c r="AI20" i="2" s="1"/>
  <c r="AA27" i="8" s="1"/>
  <c r="AG27" i="8" s="1"/>
  <c r="AG20" i="2"/>
  <c r="AM20" i="2" s="1"/>
  <c r="AH20" i="2"/>
  <c r="AK20" i="2" s="1"/>
  <c r="AC27" i="8" s="1"/>
  <c r="AI27" i="8" s="1"/>
  <c r="AF21" i="2"/>
  <c r="AI21" i="2" s="1"/>
  <c r="AA28" i="8" s="1"/>
  <c r="AG28" i="8" s="1"/>
  <c r="AG21" i="2"/>
  <c r="AH21" i="2"/>
  <c r="AK21" i="2" s="1"/>
  <c r="AC28" i="8" s="1"/>
  <c r="AI28" i="8" s="1"/>
  <c r="AF22" i="2"/>
  <c r="AI22" i="2" s="1"/>
  <c r="AA29" i="8" s="1"/>
  <c r="AG22" i="2"/>
  <c r="AM22" i="2" s="1"/>
  <c r="AH22" i="2"/>
  <c r="AK22" i="2" s="1"/>
  <c r="AC29" i="8" s="1"/>
  <c r="AF23" i="2"/>
  <c r="AI23" i="2" s="1"/>
  <c r="AA30" i="8" s="1"/>
  <c r="AG30" i="8" s="1"/>
  <c r="AG23" i="2"/>
  <c r="AH23" i="2"/>
  <c r="AK23" i="2" s="1"/>
  <c r="AC30" i="8" s="1"/>
  <c r="AI30" i="8" s="1"/>
  <c r="AF24" i="2"/>
  <c r="AI24" i="2" s="1"/>
  <c r="AA31" i="8" s="1"/>
  <c r="AG24" i="2"/>
  <c r="AM24" i="2" s="1"/>
  <c r="AH24" i="2"/>
  <c r="AJ24" i="2"/>
  <c r="AB31" i="8" s="1"/>
  <c r="AK24" i="2"/>
  <c r="AC31" i="8" s="1"/>
  <c r="AF25" i="2"/>
  <c r="AI25" i="2" s="1"/>
  <c r="AA32" i="8" s="1"/>
  <c r="AG25" i="2"/>
  <c r="AH25" i="2"/>
  <c r="AK25" i="2" s="1"/>
  <c r="AC32" i="8" s="1"/>
  <c r="AI32" i="8" s="1"/>
  <c r="AH2" i="2"/>
  <c r="AK2" i="2" s="1"/>
  <c r="AC9" i="8" s="1"/>
  <c r="AG2" i="2"/>
  <c r="AF2" i="2"/>
  <c r="AI2" i="2" s="1"/>
  <c r="AA9" i="8" s="1"/>
  <c r="AF3" i="3"/>
  <c r="AI3" i="3" s="1"/>
  <c r="P10" i="8" s="1"/>
  <c r="AG3" i="3"/>
  <c r="AJ3" i="3" s="1"/>
  <c r="Q10" i="8" s="1"/>
  <c r="AH3" i="3"/>
  <c r="AK3" i="3" s="1"/>
  <c r="R10" i="8" s="1"/>
  <c r="X10" i="8" s="1"/>
  <c r="AF4" i="3"/>
  <c r="AI4" i="3" s="1"/>
  <c r="P11" i="8" s="1"/>
  <c r="V11" i="8" s="1"/>
  <c r="AG4" i="3"/>
  <c r="AH4" i="3"/>
  <c r="AK4" i="3" s="1"/>
  <c r="R11" i="8" s="1"/>
  <c r="X11" i="8" s="1"/>
  <c r="AJ4" i="3"/>
  <c r="Q11" i="8" s="1"/>
  <c r="AF5" i="3"/>
  <c r="AI5" i="3" s="1"/>
  <c r="AG5" i="3"/>
  <c r="AH5" i="3"/>
  <c r="AK5" i="3" s="1"/>
  <c r="R12" i="8" s="1"/>
  <c r="AJ5" i="3"/>
  <c r="Q12" i="8" s="1"/>
  <c r="AF6" i="3"/>
  <c r="AI6" i="3" s="1"/>
  <c r="P13" i="8" s="1"/>
  <c r="V13" i="8" s="1"/>
  <c r="AG6" i="3"/>
  <c r="AH6" i="3"/>
  <c r="AK6" i="3" s="1"/>
  <c r="R13" i="8" s="1"/>
  <c r="AJ6" i="3"/>
  <c r="Q13" i="8" s="1"/>
  <c r="AF7" i="3"/>
  <c r="AI7" i="3" s="1"/>
  <c r="P14" i="8" s="1"/>
  <c r="V14" i="8" s="1"/>
  <c r="AG7" i="3"/>
  <c r="AH7" i="3"/>
  <c r="AK7" i="3" s="1"/>
  <c r="R14" i="8" s="1"/>
  <c r="X14" i="8" s="1"/>
  <c r="AJ7" i="3"/>
  <c r="Q14" i="8" s="1"/>
  <c r="AF8" i="3"/>
  <c r="AI8" i="3" s="1"/>
  <c r="P15" i="8" s="1"/>
  <c r="V15" i="8" s="1"/>
  <c r="AG8" i="3"/>
  <c r="AH8" i="3"/>
  <c r="AK8" i="3" s="1"/>
  <c r="R15" i="8" s="1"/>
  <c r="X15" i="8" s="1"/>
  <c r="AJ8" i="3"/>
  <c r="Q15" i="8" s="1"/>
  <c r="AF9" i="3"/>
  <c r="AI9" i="3" s="1"/>
  <c r="AG9" i="3"/>
  <c r="AJ9" i="3" s="1"/>
  <c r="Q16" i="8" s="1"/>
  <c r="AH9" i="3"/>
  <c r="AK9" i="3" s="1"/>
  <c r="R16" i="8" s="1"/>
  <c r="X16" i="8" s="1"/>
  <c r="AF10" i="3"/>
  <c r="AI10" i="3" s="1"/>
  <c r="AG10" i="3"/>
  <c r="AH10" i="3"/>
  <c r="AJ10" i="3"/>
  <c r="Q17" i="8" s="1"/>
  <c r="AK10" i="3"/>
  <c r="R17" i="8" s="1"/>
  <c r="AF11" i="3"/>
  <c r="AI11" i="3" s="1"/>
  <c r="P18" i="8" s="1"/>
  <c r="AG11" i="3"/>
  <c r="AJ11" i="3" s="1"/>
  <c r="Q18" i="8" s="1"/>
  <c r="AH11" i="3"/>
  <c r="AK11" i="3" s="1"/>
  <c r="R18" i="8" s="1"/>
  <c r="AF12" i="3"/>
  <c r="AI12" i="3" s="1"/>
  <c r="P19" i="8" s="1"/>
  <c r="V19" i="8" s="1"/>
  <c r="AG12" i="3"/>
  <c r="AH12" i="3"/>
  <c r="AK12" i="3" s="1"/>
  <c r="R19" i="8" s="1"/>
  <c r="AJ12" i="3"/>
  <c r="Q19" i="8" s="1"/>
  <c r="AF13" i="3"/>
  <c r="AI13" i="3" s="1"/>
  <c r="AG13" i="3"/>
  <c r="AH13" i="3"/>
  <c r="AK13" i="3" s="1"/>
  <c r="R20" i="8" s="1"/>
  <c r="AJ13" i="3"/>
  <c r="Q20" i="8" s="1"/>
  <c r="AF14" i="3"/>
  <c r="AI14" i="3" s="1"/>
  <c r="P21" i="8" s="1"/>
  <c r="V21" i="8" s="1"/>
  <c r="AG14" i="3"/>
  <c r="AH14" i="3"/>
  <c r="AK14" i="3" s="1"/>
  <c r="R21" i="8" s="1"/>
  <c r="AJ14" i="3"/>
  <c r="Q21" i="8" s="1"/>
  <c r="AF15" i="3"/>
  <c r="AI15" i="3" s="1"/>
  <c r="P22" i="8" s="1"/>
  <c r="V22" i="8" s="1"/>
  <c r="AG15" i="3"/>
  <c r="AH15" i="3"/>
  <c r="AK15" i="3" s="1"/>
  <c r="R22" i="8" s="1"/>
  <c r="AJ15" i="3"/>
  <c r="Q22" i="8" s="1"/>
  <c r="AF16" i="3"/>
  <c r="AI16" i="3" s="1"/>
  <c r="P23" i="8" s="1"/>
  <c r="V23" i="8" s="1"/>
  <c r="AG16" i="3"/>
  <c r="AH16" i="3"/>
  <c r="AK16" i="3" s="1"/>
  <c r="R23" i="8" s="1"/>
  <c r="AJ16" i="3"/>
  <c r="Q23" i="8" s="1"/>
  <c r="AF17" i="3"/>
  <c r="AI17" i="3" s="1"/>
  <c r="AG17" i="3"/>
  <c r="AJ17" i="3" s="1"/>
  <c r="Q24" i="8" s="1"/>
  <c r="AH17" i="3"/>
  <c r="AK17" i="3" s="1"/>
  <c r="R24" i="8" s="1"/>
  <c r="AF18" i="3"/>
  <c r="AI18" i="3" s="1"/>
  <c r="AG18" i="3"/>
  <c r="AH18" i="3"/>
  <c r="AJ18" i="3"/>
  <c r="Q25" i="8" s="1"/>
  <c r="AK18" i="3"/>
  <c r="R25" i="8" s="1"/>
  <c r="AF19" i="3"/>
  <c r="AI19" i="3" s="1"/>
  <c r="P26" i="8" s="1"/>
  <c r="AG19" i="3"/>
  <c r="AJ19" i="3" s="1"/>
  <c r="Q26" i="8" s="1"/>
  <c r="AH19" i="3"/>
  <c r="AK19" i="3" s="1"/>
  <c r="R26" i="8" s="1"/>
  <c r="X26" i="8" s="1"/>
  <c r="AF20" i="3"/>
  <c r="AI20" i="3" s="1"/>
  <c r="P27" i="8" s="1"/>
  <c r="V27" i="8" s="1"/>
  <c r="AG20" i="3"/>
  <c r="AH20" i="3"/>
  <c r="AK20" i="3" s="1"/>
  <c r="R27" i="8" s="1"/>
  <c r="AJ20" i="3"/>
  <c r="Q27" i="8" s="1"/>
  <c r="AF21" i="3"/>
  <c r="AI21" i="3" s="1"/>
  <c r="AG21" i="3"/>
  <c r="AH21" i="3"/>
  <c r="AK21" i="3" s="1"/>
  <c r="R28" i="8" s="1"/>
  <c r="X28" i="8" s="1"/>
  <c r="AJ21" i="3"/>
  <c r="Q28" i="8" s="1"/>
  <c r="AF22" i="3"/>
  <c r="AI22" i="3" s="1"/>
  <c r="P29" i="8" s="1"/>
  <c r="AG22" i="3"/>
  <c r="AH22" i="3"/>
  <c r="AK22" i="3" s="1"/>
  <c r="R29" i="8" s="1"/>
  <c r="AJ22" i="3"/>
  <c r="Q29" i="8" s="1"/>
  <c r="AF23" i="3"/>
  <c r="AI23" i="3" s="1"/>
  <c r="P30" i="8" s="1"/>
  <c r="AG23" i="3"/>
  <c r="AH23" i="3"/>
  <c r="AK23" i="3" s="1"/>
  <c r="R30" i="8" s="1"/>
  <c r="AJ23" i="3"/>
  <c r="Q30" i="8" s="1"/>
  <c r="AF24" i="3"/>
  <c r="AI24" i="3" s="1"/>
  <c r="P31" i="8" s="1"/>
  <c r="V31" i="8" s="1"/>
  <c r="AG24" i="3"/>
  <c r="AH24" i="3"/>
  <c r="AK24" i="3" s="1"/>
  <c r="R31" i="8" s="1"/>
  <c r="X31" i="8" s="1"/>
  <c r="AJ24" i="3"/>
  <c r="Q31" i="8" s="1"/>
  <c r="AF25" i="3"/>
  <c r="AI25" i="3" s="1"/>
  <c r="AG25" i="3"/>
  <c r="AJ25" i="3" s="1"/>
  <c r="Q32" i="8" s="1"/>
  <c r="AH25" i="3"/>
  <c r="AK25" i="3" s="1"/>
  <c r="R32" i="8" s="1"/>
  <c r="AH2" i="3"/>
  <c r="AK2" i="3" s="1"/>
  <c r="R9" i="8" s="1"/>
  <c r="AG2" i="3"/>
  <c r="AJ2" i="3" s="1"/>
  <c r="AF2" i="3"/>
  <c r="AI2" i="3" s="1"/>
  <c r="P9" i="8" s="1"/>
  <c r="AF3" i="4"/>
  <c r="AG3" i="4"/>
  <c r="AH3" i="4"/>
  <c r="AK3" i="4" s="1"/>
  <c r="AI3" i="4"/>
  <c r="AJ3" i="4"/>
  <c r="AF4" i="4"/>
  <c r="AI4" i="4" s="1"/>
  <c r="AG4" i="4"/>
  <c r="AH4" i="4"/>
  <c r="AJ4" i="4"/>
  <c r="AK4" i="4"/>
  <c r="AF5" i="4"/>
  <c r="AG5" i="4"/>
  <c r="AH5" i="4"/>
  <c r="AK5" i="4" s="1"/>
  <c r="AI5" i="4"/>
  <c r="AJ5" i="4"/>
  <c r="AF6" i="4"/>
  <c r="AI6" i="4" s="1"/>
  <c r="AG6" i="4"/>
  <c r="AH6" i="4"/>
  <c r="AJ6" i="4"/>
  <c r="AK6" i="4"/>
  <c r="AF7" i="4"/>
  <c r="AG7" i="4"/>
  <c r="AH7" i="4"/>
  <c r="AK7" i="4" s="1"/>
  <c r="AI7" i="4"/>
  <c r="AJ7" i="4"/>
  <c r="AF8" i="4"/>
  <c r="AI8" i="4" s="1"/>
  <c r="AG8" i="4"/>
  <c r="AH8" i="4"/>
  <c r="AJ8" i="4"/>
  <c r="AK8" i="4"/>
  <c r="AF9" i="4"/>
  <c r="AG9" i="4"/>
  <c r="AH9" i="4"/>
  <c r="AK9" i="4" s="1"/>
  <c r="AI9" i="4"/>
  <c r="AJ9" i="4"/>
  <c r="AF10" i="4"/>
  <c r="AI10" i="4" s="1"/>
  <c r="AG10" i="4"/>
  <c r="AH10" i="4"/>
  <c r="AJ10" i="4"/>
  <c r="AK10" i="4"/>
  <c r="AF11" i="4"/>
  <c r="AG11" i="4"/>
  <c r="AH11" i="4"/>
  <c r="AK11" i="4" s="1"/>
  <c r="AI11" i="4"/>
  <c r="AJ11" i="4"/>
  <c r="AF12" i="4"/>
  <c r="AI12" i="4" s="1"/>
  <c r="AG12" i="4"/>
  <c r="AH12" i="4"/>
  <c r="AJ12" i="4"/>
  <c r="AK12" i="4"/>
  <c r="AF13" i="4"/>
  <c r="AG13" i="4"/>
  <c r="AH13" i="4"/>
  <c r="AK13" i="4" s="1"/>
  <c r="AI13" i="4"/>
  <c r="AJ13" i="4"/>
  <c r="AF14" i="4"/>
  <c r="AI14" i="4" s="1"/>
  <c r="AG14" i="4"/>
  <c r="AH14" i="4"/>
  <c r="AJ14" i="4"/>
  <c r="AK14" i="4"/>
  <c r="AF15" i="4"/>
  <c r="AG15" i="4"/>
  <c r="AH15" i="4"/>
  <c r="AK15" i="4" s="1"/>
  <c r="AI15" i="4"/>
  <c r="AJ15" i="4"/>
  <c r="AF16" i="4"/>
  <c r="AI16" i="4" s="1"/>
  <c r="AG16" i="4"/>
  <c r="AH16" i="4"/>
  <c r="AJ16" i="4"/>
  <c r="AK16" i="4"/>
  <c r="AF17" i="4"/>
  <c r="AG17" i="4"/>
  <c r="AH17" i="4"/>
  <c r="AK17" i="4" s="1"/>
  <c r="AI17" i="4"/>
  <c r="AJ17" i="4"/>
  <c r="AF18" i="4"/>
  <c r="AI18" i="4" s="1"/>
  <c r="AG18" i="4"/>
  <c r="AH18" i="4"/>
  <c r="AJ18" i="4"/>
  <c r="AK18" i="4"/>
  <c r="AF19" i="4"/>
  <c r="AG19" i="4"/>
  <c r="AH19" i="4"/>
  <c r="AK19" i="4" s="1"/>
  <c r="AI19" i="4"/>
  <c r="AJ19" i="4"/>
  <c r="AF20" i="4"/>
  <c r="AI20" i="4" s="1"/>
  <c r="AG20" i="4"/>
  <c r="AH20" i="4"/>
  <c r="AJ20" i="4"/>
  <c r="AK20" i="4"/>
  <c r="AF21" i="4"/>
  <c r="AG21" i="4"/>
  <c r="AH21" i="4"/>
  <c r="AK21" i="4" s="1"/>
  <c r="AI21" i="4"/>
  <c r="AJ21" i="4"/>
  <c r="AF22" i="4"/>
  <c r="AI22" i="4" s="1"/>
  <c r="AG22" i="4"/>
  <c r="AH22" i="4"/>
  <c r="AJ22" i="4"/>
  <c r="AK22" i="4"/>
  <c r="AF23" i="4"/>
  <c r="AG23" i="4"/>
  <c r="AH23" i="4"/>
  <c r="AK23" i="4" s="1"/>
  <c r="AI23" i="4"/>
  <c r="AJ23" i="4"/>
  <c r="AF24" i="4"/>
  <c r="AI24" i="4" s="1"/>
  <c r="AG24" i="4"/>
  <c r="AH24" i="4"/>
  <c r="AJ24" i="4"/>
  <c r="AK24" i="4"/>
  <c r="AF25" i="4"/>
  <c r="AG25" i="4"/>
  <c r="AH25" i="4"/>
  <c r="AK25" i="4" s="1"/>
  <c r="AI25" i="4"/>
  <c r="AJ25" i="4"/>
  <c r="AH2" i="4"/>
  <c r="AK2" i="4" s="1"/>
  <c r="AG2" i="4"/>
  <c r="AJ2" i="4" s="1"/>
  <c r="AF2" i="4"/>
  <c r="AI2" i="4" s="1"/>
  <c r="K9" i="8"/>
  <c r="AK25" i="7"/>
  <c r="AH25" i="7"/>
  <c r="AG25" i="7"/>
  <c r="AJ25" i="7" s="1"/>
  <c r="AF25" i="7"/>
  <c r="AI25" i="7" s="1"/>
  <c r="AH24" i="7"/>
  <c r="AK24" i="7" s="1"/>
  <c r="AG24" i="7"/>
  <c r="AJ24" i="7" s="1"/>
  <c r="AF24" i="7"/>
  <c r="AI24" i="7" s="1"/>
  <c r="AK23" i="7"/>
  <c r="AH23" i="7"/>
  <c r="AG23" i="7"/>
  <c r="AJ23" i="7" s="1"/>
  <c r="AF23" i="7"/>
  <c r="AI23" i="7" s="1"/>
  <c r="AH22" i="7"/>
  <c r="AK22" i="7" s="1"/>
  <c r="AG22" i="7"/>
  <c r="AJ22" i="7" s="1"/>
  <c r="AF22" i="7"/>
  <c r="AI22" i="7" s="1"/>
  <c r="AK21" i="7"/>
  <c r="AH21" i="7"/>
  <c r="AG21" i="7"/>
  <c r="AJ21" i="7" s="1"/>
  <c r="AF21" i="7"/>
  <c r="AI21" i="7" s="1"/>
  <c r="AH20" i="7"/>
  <c r="AK20" i="7" s="1"/>
  <c r="AG20" i="7"/>
  <c r="AJ20" i="7" s="1"/>
  <c r="AF20" i="7"/>
  <c r="AI20" i="7" s="1"/>
  <c r="AK19" i="7"/>
  <c r="AH19" i="7"/>
  <c r="AG19" i="7"/>
  <c r="AJ19" i="7" s="1"/>
  <c r="AF19" i="7"/>
  <c r="AI19" i="7" s="1"/>
  <c r="AH18" i="7"/>
  <c r="AK18" i="7" s="1"/>
  <c r="AG18" i="7"/>
  <c r="AJ18" i="7" s="1"/>
  <c r="AF18" i="7"/>
  <c r="AI18" i="7" s="1"/>
  <c r="AK17" i="7"/>
  <c r="AH17" i="7"/>
  <c r="AG17" i="7"/>
  <c r="AJ17" i="7" s="1"/>
  <c r="AF17" i="7"/>
  <c r="AI17" i="7" s="1"/>
  <c r="AH16" i="7"/>
  <c r="AK16" i="7" s="1"/>
  <c r="AG16" i="7"/>
  <c r="AJ16" i="7" s="1"/>
  <c r="AF16" i="7"/>
  <c r="AI16" i="7" s="1"/>
  <c r="AK15" i="7"/>
  <c r="AH15" i="7"/>
  <c r="AG15" i="7"/>
  <c r="AJ15" i="7" s="1"/>
  <c r="AF15" i="7"/>
  <c r="AI15" i="7" s="1"/>
  <c r="AH14" i="7"/>
  <c r="AK14" i="7" s="1"/>
  <c r="AG14" i="7"/>
  <c r="AJ14" i="7" s="1"/>
  <c r="AF14" i="7"/>
  <c r="AI14" i="7" s="1"/>
  <c r="AK13" i="7"/>
  <c r="AH13" i="7"/>
  <c r="AG13" i="7"/>
  <c r="AJ13" i="7" s="1"/>
  <c r="AF13" i="7"/>
  <c r="AI13" i="7" s="1"/>
  <c r="AH12" i="7"/>
  <c r="AK12" i="7" s="1"/>
  <c r="AG12" i="7"/>
  <c r="AJ12" i="7" s="1"/>
  <c r="AF12" i="7"/>
  <c r="AI12" i="7" s="1"/>
  <c r="AK11" i="7"/>
  <c r="AH11" i="7"/>
  <c r="AG11" i="7"/>
  <c r="AJ11" i="7" s="1"/>
  <c r="AF11" i="7"/>
  <c r="AI11" i="7" s="1"/>
  <c r="AH10" i="7"/>
  <c r="AK10" i="7" s="1"/>
  <c r="AG10" i="7"/>
  <c r="AJ10" i="7" s="1"/>
  <c r="AF10" i="7"/>
  <c r="AI10" i="7" s="1"/>
  <c r="AK9" i="7"/>
  <c r="AH9" i="7"/>
  <c r="AG9" i="7"/>
  <c r="AJ9" i="7" s="1"/>
  <c r="AF9" i="7"/>
  <c r="AI9" i="7" s="1"/>
  <c r="AH8" i="7"/>
  <c r="AK8" i="7" s="1"/>
  <c r="AG8" i="7"/>
  <c r="AJ8" i="7" s="1"/>
  <c r="AF8" i="7"/>
  <c r="AI8" i="7" s="1"/>
  <c r="AK7" i="7"/>
  <c r="AH7" i="7"/>
  <c r="AG7" i="7"/>
  <c r="AJ7" i="7" s="1"/>
  <c r="AF7" i="7"/>
  <c r="AI7" i="7" s="1"/>
  <c r="AH6" i="7"/>
  <c r="AK6" i="7" s="1"/>
  <c r="AG6" i="7"/>
  <c r="AJ6" i="7" s="1"/>
  <c r="AF6" i="7"/>
  <c r="AI6" i="7" s="1"/>
  <c r="AK5" i="7"/>
  <c r="AH5" i="7"/>
  <c r="AG5" i="7"/>
  <c r="AJ5" i="7" s="1"/>
  <c r="AF5" i="7"/>
  <c r="AI5" i="7" s="1"/>
  <c r="AH4" i="7"/>
  <c r="AK4" i="7" s="1"/>
  <c r="AG4" i="7"/>
  <c r="AJ4" i="7" s="1"/>
  <c r="AF4" i="7"/>
  <c r="AI4" i="7" s="1"/>
  <c r="AK3" i="7"/>
  <c r="AH3" i="7"/>
  <c r="AG3" i="7"/>
  <c r="AJ3" i="7" s="1"/>
  <c r="AF3" i="7"/>
  <c r="AI3" i="7" s="1"/>
  <c r="AH2" i="7"/>
  <c r="AK2" i="7" s="1"/>
  <c r="AG2" i="7"/>
  <c r="AJ2" i="7" s="1"/>
  <c r="AF2" i="7"/>
  <c r="AI2" i="7" s="1"/>
  <c r="AK25" i="6"/>
  <c r="AJ25" i="6"/>
  <c r="AI25" i="6"/>
  <c r="AH25" i="6"/>
  <c r="AG25" i="6"/>
  <c r="AF25" i="6"/>
  <c r="AH24" i="6"/>
  <c r="AK24" i="6" s="1"/>
  <c r="AG24" i="6"/>
  <c r="AJ24" i="6" s="1"/>
  <c r="AF24" i="6"/>
  <c r="AI24" i="6" s="1"/>
  <c r="AK23" i="6"/>
  <c r="AJ23" i="6"/>
  <c r="AI23" i="6"/>
  <c r="AH23" i="6"/>
  <c r="AG23" i="6"/>
  <c r="AF23" i="6"/>
  <c r="AH22" i="6"/>
  <c r="AK22" i="6" s="1"/>
  <c r="AG22" i="6"/>
  <c r="AJ22" i="6" s="1"/>
  <c r="AF22" i="6"/>
  <c r="AI22" i="6" s="1"/>
  <c r="AK21" i="6"/>
  <c r="AJ21" i="6"/>
  <c r="AI21" i="6"/>
  <c r="AH21" i="6"/>
  <c r="AG21" i="6"/>
  <c r="AF21" i="6"/>
  <c r="AH20" i="6"/>
  <c r="AK20" i="6" s="1"/>
  <c r="AG20" i="6"/>
  <c r="AJ20" i="6" s="1"/>
  <c r="AF20" i="6"/>
  <c r="AI20" i="6" s="1"/>
  <c r="AK19" i="6"/>
  <c r="AJ19" i="6"/>
  <c r="AI19" i="6"/>
  <c r="AH19" i="6"/>
  <c r="AG19" i="6"/>
  <c r="AF19" i="6"/>
  <c r="AH18" i="6"/>
  <c r="AK18" i="6" s="1"/>
  <c r="AG18" i="6"/>
  <c r="AJ18" i="6" s="1"/>
  <c r="AF18" i="6"/>
  <c r="AI18" i="6" s="1"/>
  <c r="AK17" i="6"/>
  <c r="AJ17" i="6"/>
  <c r="AI17" i="6"/>
  <c r="AH17" i="6"/>
  <c r="AG17" i="6"/>
  <c r="AF17" i="6"/>
  <c r="AH16" i="6"/>
  <c r="AK16" i="6" s="1"/>
  <c r="AG16" i="6"/>
  <c r="AJ16" i="6" s="1"/>
  <c r="AF16" i="6"/>
  <c r="AI16" i="6" s="1"/>
  <c r="AK15" i="6"/>
  <c r="AJ15" i="6"/>
  <c r="AI15" i="6"/>
  <c r="AH15" i="6"/>
  <c r="AG15" i="6"/>
  <c r="AF15" i="6"/>
  <c r="AH14" i="6"/>
  <c r="AK14" i="6" s="1"/>
  <c r="AG14" i="6"/>
  <c r="AJ14" i="6" s="1"/>
  <c r="AF14" i="6"/>
  <c r="AI14" i="6" s="1"/>
  <c r="AK13" i="6"/>
  <c r="AJ13" i="6"/>
  <c r="AI13" i="6"/>
  <c r="AH13" i="6"/>
  <c r="AG13" i="6"/>
  <c r="AF13" i="6"/>
  <c r="AH12" i="6"/>
  <c r="AK12" i="6" s="1"/>
  <c r="AG12" i="6"/>
  <c r="AJ12" i="6" s="1"/>
  <c r="AF12" i="6"/>
  <c r="AI12" i="6" s="1"/>
  <c r="AK11" i="6"/>
  <c r="AJ11" i="6"/>
  <c r="AI11" i="6"/>
  <c r="AH11" i="6"/>
  <c r="AG11" i="6"/>
  <c r="AF11" i="6"/>
  <c r="AH10" i="6"/>
  <c r="AK10" i="6" s="1"/>
  <c r="AG10" i="6"/>
  <c r="AJ10" i="6" s="1"/>
  <c r="AF10" i="6"/>
  <c r="AI10" i="6" s="1"/>
  <c r="AK9" i="6"/>
  <c r="AJ9" i="6"/>
  <c r="AI9" i="6"/>
  <c r="AH9" i="6"/>
  <c r="AG9" i="6"/>
  <c r="AF9" i="6"/>
  <c r="AH8" i="6"/>
  <c r="AK8" i="6" s="1"/>
  <c r="AG8" i="6"/>
  <c r="AJ8" i="6" s="1"/>
  <c r="AF8" i="6"/>
  <c r="AI8" i="6" s="1"/>
  <c r="AK7" i="6"/>
  <c r="AJ7" i="6"/>
  <c r="AI7" i="6"/>
  <c r="AH7" i="6"/>
  <c r="AG7" i="6"/>
  <c r="AF7" i="6"/>
  <c r="AH6" i="6"/>
  <c r="AK6" i="6" s="1"/>
  <c r="AG6" i="6"/>
  <c r="AJ6" i="6" s="1"/>
  <c r="AF6" i="6"/>
  <c r="AI6" i="6" s="1"/>
  <c r="AK5" i="6"/>
  <c r="AJ5" i="6"/>
  <c r="AI5" i="6"/>
  <c r="AH5" i="6"/>
  <c r="AG5" i="6"/>
  <c r="AF5" i="6"/>
  <c r="AH4" i="6"/>
  <c r="AK4" i="6" s="1"/>
  <c r="AG4" i="6"/>
  <c r="AJ4" i="6" s="1"/>
  <c r="AF4" i="6"/>
  <c r="AI4" i="6" s="1"/>
  <c r="AK3" i="6"/>
  <c r="AJ3" i="6"/>
  <c r="AI3" i="6"/>
  <c r="AH3" i="6"/>
  <c r="AG3" i="6"/>
  <c r="AF3" i="6"/>
  <c r="AH2" i="6"/>
  <c r="AK2" i="6" s="1"/>
  <c r="AG2" i="6"/>
  <c r="AJ2" i="6" s="1"/>
  <c r="AF2" i="6"/>
  <c r="AI2" i="6" s="1"/>
  <c r="AK25" i="5"/>
  <c r="AI25" i="5"/>
  <c r="AH25" i="5"/>
  <c r="AG25" i="5"/>
  <c r="AJ25" i="5" s="1"/>
  <c r="AF25" i="5"/>
  <c r="AJ24" i="5"/>
  <c r="AI24" i="5"/>
  <c r="AH24" i="5"/>
  <c r="AK24" i="5" s="1"/>
  <c r="AG24" i="5"/>
  <c r="AF24" i="5"/>
  <c r="AK23" i="5"/>
  <c r="AJ23" i="5"/>
  <c r="AI23" i="5"/>
  <c r="AH23" i="5"/>
  <c r="AG23" i="5"/>
  <c r="AF23" i="5"/>
  <c r="AJ22" i="5"/>
  <c r="AI22" i="5"/>
  <c r="AH22" i="5"/>
  <c r="AK22" i="5" s="1"/>
  <c r="AG22" i="5"/>
  <c r="AF22" i="5"/>
  <c r="AK21" i="5"/>
  <c r="AJ21" i="5"/>
  <c r="AI21" i="5"/>
  <c r="AH21" i="5"/>
  <c r="AG21" i="5"/>
  <c r="AF21" i="5"/>
  <c r="AJ20" i="5"/>
  <c r="AI20" i="5"/>
  <c r="AH20" i="5"/>
  <c r="AK20" i="5" s="1"/>
  <c r="AG20" i="5"/>
  <c r="AF20" i="5"/>
  <c r="AK19" i="5"/>
  <c r="AJ19" i="5"/>
  <c r="AI19" i="5"/>
  <c r="AH19" i="5"/>
  <c r="AG19" i="5"/>
  <c r="AF19" i="5"/>
  <c r="AJ18" i="5"/>
  <c r="AI18" i="5"/>
  <c r="AH18" i="5"/>
  <c r="AK18" i="5" s="1"/>
  <c r="AG18" i="5"/>
  <c r="AF18" i="5"/>
  <c r="AK17" i="5"/>
  <c r="AJ17" i="5"/>
  <c r="AI17" i="5"/>
  <c r="AH17" i="5"/>
  <c r="AG17" i="5"/>
  <c r="AF17" i="5"/>
  <c r="AJ16" i="5"/>
  <c r="AI16" i="5"/>
  <c r="AH16" i="5"/>
  <c r="AK16" i="5" s="1"/>
  <c r="AG16" i="5"/>
  <c r="AF16" i="5"/>
  <c r="AK15" i="5"/>
  <c r="AJ15" i="5"/>
  <c r="AI15" i="5"/>
  <c r="AH15" i="5"/>
  <c r="AG15" i="5"/>
  <c r="AF15" i="5"/>
  <c r="AJ14" i="5"/>
  <c r="AI14" i="5"/>
  <c r="AH14" i="5"/>
  <c r="AK14" i="5" s="1"/>
  <c r="AG14" i="5"/>
  <c r="AF14" i="5"/>
  <c r="AK13" i="5"/>
  <c r="AJ13" i="5"/>
  <c r="AI13" i="5"/>
  <c r="AH13" i="5"/>
  <c r="AG13" i="5"/>
  <c r="AF13" i="5"/>
  <c r="AJ12" i="5"/>
  <c r="AI12" i="5"/>
  <c r="AH12" i="5"/>
  <c r="AK12" i="5" s="1"/>
  <c r="AG12" i="5"/>
  <c r="AF12" i="5"/>
  <c r="AK11" i="5"/>
  <c r="AJ11" i="5"/>
  <c r="AI11" i="5"/>
  <c r="AH11" i="5"/>
  <c r="AG11" i="5"/>
  <c r="AF11" i="5"/>
  <c r="AJ10" i="5"/>
  <c r="AI10" i="5"/>
  <c r="AH10" i="5"/>
  <c r="AK10" i="5" s="1"/>
  <c r="AG10" i="5"/>
  <c r="AF10" i="5"/>
  <c r="AK9" i="5"/>
  <c r="AJ9" i="5"/>
  <c r="AI9" i="5"/>
  <c r="AH9" i="5"/>
  <c r="AG9" i="5"/>
  <c r="AF9" i="5"/>
  <c r="AJ8" i="5"/>
  <c r="AI8" i="5"/>
  <c r="AH8" i="5"/>
  <c r="AK8" i="5" s="1"/>
  <c r="AG8" i="5"/>
  <c r="AF8" i="5"/>
  <c r="AK7" i="5"/>
  <c r="AJ7" i="5"/>
  <c r="AI7" i="5"/>
  <c r="AH7" i="5"/>
  <c r="AG7" i="5"/>
  <c r="AF7" i="5"/>
  <c r="AJ6" i="5"/>
  <c r="AI6" i="5"/>
  <c r="AH6" i="5"/>
  <c r="AK6" i="5" s="1"/>
  <c r="AG6" i="5"/>
  <c r="AF6" i="5"/>
  <c r="AK5" i="5"/>
  <c r="AJ5" i="5"/>
  <c r="AI5" i="5"/>
  <c r="AH5" i="5"/>
  <c r="AG5" i="5"/>
  <c r="AF5" i="5"/>
  <c r="AJ4" i="5"/>
  <c r="AI4" i="5"/>
  <c r="AH4" i="5"/>
  <c r="AK4" i="5" s="1"/>
  <c r="AG4" i="5"/>
  <c r="AF4" i="5"/>
  <c r="AK3" i="5"/>
  <c r="AJ3" i="5"/>
  <c r="AI3" i="5"/>
  <c r="AH3" i="5"/>
  <c r="AG3" i="5"/>
  <c r="AF3" i="5"/>
  <c r="AJ2" i="5"/>
  <c r="AI2" i="5"/>
  <c r="AH2" i="5"/>
  <c r="AK2" i="5" s="1"/>
  <c r="AG2" i="5"/>
  <c r="AF2" i="5"/>
  <c r="AJ14" i="2" l="1"/>
  <c r="AB21" i="8" s="1"/>
  <c r="AH21" i="8" s="1"/>
  <c r="AJ20" i="2"/>
  <c r="AB27" i="8" s="1"/>
  <c r="AJ12" i="2"/>
  <c r="AB19" i="8" s="1"/>
  <c r="AJ23" i="2"/>
  <c r="AB30" i="8" s="1"/>
  <c r="AH30" i="8" s="1"/>
  <c r="AK30" i="8" s="1"/>
  <c r="AM23" i="2"/>
  <c r="AJ17" i="2"/>
  <c r="AB24" i="8" s="1"/>
  <c r="AH24" i="8" s="1"/>
  <c r="AJ24" i="8" s="1"/>
  <c r="AM17" i="2"/>
  <c r="AJ11" i="2"/>
  <c r="AB18" i="8" s="1"/>
  <c r="AH18" i="8" s="1"/>
  <c r="AK18" i="8" s="1"/>
  <c r="AM11" i="2"/>
  <c r="AJ5" i="2"/>
  <c r="AB12" i="8" s="1"/>
  <c r="AH12" i="8" s="1"/>
  <c r="AM5" i="2"/>
  <c r="AJ7" i="2"/>
  <c r="AB14" i="8" s="1"/>
  <c r="AM7" i="2"/>
  <c r="AJ2" i="2"/>
  <c r="AB9" i="8" s="1"/>
  <c r="AJ13" i="2"/>
  <c r="AB20" i="8" s="1"/>
  <c r="AH20" i="8" s="1"/>
  <c r="AJ20" i="8" s="1"/>
  <c r="AM13" i="2"/>
  <c r="AJ22" i="2"/>
  <c r="AB29" i="8" s="1"/>
  <c r="AH29" i="8" s="1"/>
  <c r="AJ16" i="2"/>
  <c r="AB23" i="8" s="1"/>
  <c r="AH23" i="8" s="1"/>
  <c r="AJ10" i="2"/>
  <c r="AB17" i="8" s="1"/>
  <c r="AH17" i="8" s="1"/>
  <c r="AJ4" i="2"/>
  <c r="AB11" i="8" s="1"/>
  <c r="AH11" i="8" s="1"/>
  <c r="AI26" i="8"/>
  <c r="AI22" i="8"/>
  <c r="AI18" i="8"/>
  <c r="AI14" i="8"/>
  <c r="AJ19" i="2"/>
  <c r="AB26" i="8" s="1"/>
  <c r="AM19" i="2"/>
  <c r="AJ21" i="2"/>
  <c r="AB28" i="8" s="1"/>
  <c r="AH28" i="8" s="1"/>
  <c r="AJ28" i="8" s="1"/>
  <c r="AM21" i="2"/>
  <c r="AJ15" i="2"/>
  <c r="AB22" i="8" s="1"/>
  <c r="AH22" i="8" s="1"/>
  <c r="AM15" i="2"/>
  <c r="AJ9" i="2"/>
  <c r="AB16" i="8" s="1"/>
  <c r="AH16" i="8" s="1"/>
  <c r="AK16" i="8" s="1"/>
  <c r="AM9" i="2"/>
  <c r="AJ3" i="2"/>
  <c r="AB10" i="8" s="1"/>
  <c r="AH10" i="8" s="1"/>
  <c r="AM3" i="2"/>
  <c r="AG13" i="8"/>
  <c r="AJ25" i="2"/>
  <c r="AB32" i="8" s="1"/>
  <c r="AM25" i="2"/>
  <c r="X20" i="8"/>
  <c r="X12" i="8"/>
  <c r="X32" i="8"/>
  <c r="W32" i="8"/>
  <c r="W28" i="8"/>
  <c r="W20" i="8"/>
  <c r="W16" i="8"/>
  <c r="X24" i="8"/>
  <c r="AI31" i="8"/>
  <c r="W27" i="8"/>
  <c r="W15" i="8"/>
  <c r="AG31" i="8"/>
  <c r="X30" i="8"/>
  <c r="X22" i="8"/>
  <c r="W30" i="8"/>
  <c r="W26" i="8"/>
  <c r="W22" i="8"/>
  <c r="W18" i="8"/>
  <c r="W14" i="8"/>
  <c r="W10" i="8"/>
  <c r="V30" i="8"/>
  <c r="V10" i="8"/>
  <c r="AG10" i="8"/>
  <c r="X29" i="8"/>
  <c r="AG9" i="8"/>
  <c r="W29" i="8"/>
  <c r="W25" i="8"/>
  <c r="V29" i="8"/>
  <c r="AG29" i="8"/>
  <c r="AG25" i="8"/>
  <c r="AG21" i="8"/>
  <c r="AG17" i="8"/>
  <c r="W24" i="8"/>
  <c r="W12" i="8"/>
  <c r="AG32" i="8"/>
  <c r="AG12" i="8"/>
  <c r="V26" i="8"/>
  <c r="X9" i="8"/>
  <c r="W13" i="8"/>
  <c r="V24" i="8"/>
  <c r="X19" i="8"/>
  <c r="AG23" i="8"/>
  <c r="AG19" i="8"/>
  <c r="AG11" i="8"/>
  <c r="W21" i="8"/>
  <c r="V32" i="8"/>
  <c r="V16" i="8"/>
  <c r="X27" i="8"/>
  <c r="W17" i="8"/>
  <c r="W9" i="8"/>
  <c r="V20" i="8"/>
  <c r="X23" i="8"/>
  <c r="AH26" i="8"/>
  <c r="AH14" i="8"/>
  <c r="AG14" i="8"/>
  <c r="V18" i="8"/>
  <c r="AH32" i="8"/>
  <c r="AH31" i="8"/>
  <c r="AH27" i="8"/>
  <c r="AJ27" i="8" s="1"/>
  <c r="AH19" i="8"/>
  <c r="AH15" i="8"/>
  <c r="AI10" i="8"/>
  <c r="AI29" i="8"/>
  <c r="AK29" i="8" s="1"/>
  <c r="AI25" i="8"/>
  <c r="AI21" i="8"/>
  <c r="AJ21" i="8" s="1"/>
  <c r="AI17" i="8"/>
  <c r="AI13" i="8"/>
  <c r="AI9" i="8"/>
  <c r="AH9" i="8"/>
  <c r="X25" i="8"/>
  <c r="X21" i="8"/>
  <c r="X17" i="8"/>
  <c r="X13" i="8"/>
  <c r="W31" i="8"/>
  <c r="W23" i="8"/>
  <c r="W19" i="8"/>
  <c r="W11" i="8"/>
  <c r="X18" i="8"/>
  <c r="V9" i="8"/>
  <c r="M30" i="8"/>
  <c r="M26" i="8"/>
  <c r="M22" i="8"/>
  <c r="M18" i="8"/>
  <c r="M14" i="8"/>
  <c r="M10" i="8"/>
  <c r="L32" i="8"/>
  <c r="L28" i="8"/>
  <c r="L24" i="8"/>
  <c r="L20" i="8"/>
  <c r="L16" i="8"/>
  <c r="L12" i="8"/>
  <c r="L29" i="8"/>
  <c r="L25" i="8"/>
  <c r="L21" i="8"/>
  <c r="L17" i="8"/>
  <c r="L13" i="8"/>
  <c r="M32" i="8"/>
  <c r="M28" i="8"/>
  <c r="M24" i="8"/>
  <c r="M20" i="8"/>
  <c r="M16" i="8"/>
  <c r="M12" i="8"/>
  <c r="M31" i="8"/>
  <c r="M27" i="8"/>
  <c r="M23" i="8"/>
  <c r="M19" i="8"/>
  <c r="M15" i="8"/>
  <c r="M11" i="8"/>
  <c r="L31" i="8"/>
  <c r="L27" i="8"/>
  <c r="L23" i="8"/>
  <c r="L19" i="8"/>
  <c r="L15" i="8"/>
  <c r="L11" i="8"/>
  <c r="K31" i="8"/>
  <c r="K27" i="8"/>
  <c r="K23" i="8"/>
  <c r="K19" i="8"/>
  <c r="K15" i="8"/>
  <c r="K11" i="8"/>
  <c r="K32" i="8"/>
  <c r="K28" i="8"/>
  <c r="K24" i="8"/>
  <c r="K20" i="8"/>
  <c r="K16" i="8"/>
  <c r="K12" i="8"/>
  <c r="L30" i="8"/>
  <c r="L26" i="8"/>
  <c r="L22" i="8"/>
  <c r="L18" i="8"/>
  <c r="L14" i="8"/>
  <c r="L10" i="8"/>
  <c r="L9" i="8"/>
  <c r="M9" i="8"/>
  <c r="K29" i="8"/>
  <c r="K25" i="8"/>
  <c r="K21" i="8"/>
  <c r="K17" i="8"/>
  <c r="K13" i="8"/>
  <c r="K30" i="8"/>
  <c r="K26" i="8"/>
  <c r="K22" i="8"/>
  <c r="K18" i="8"/>
  <c r="K14" i="8"/>
  <c r="K10" i="8"/>
  <c r="AJ17" i="8" l="1"/>
  <c r="AK13" i="8"/>
  <c r="AK25" i="8"/>
  <c r="AK22" i="8"/>
  <c r="AJ22" i="8"/>
  <c r="AJ26" i="8"/>
  <c r="AM26" i="2"/>
  <c r="AM27" i="2" s="1"/>
  <c r="AJ9" i="8"/>
  <c r="AJ30" i="8"/>
  <c r="AK21" i="8"/>
  <c r="AK17" i="8"/>
  <c r="AK12" i="8"/>
  <c r="AJ18" i="8"/>
  <c r="AJ10" i="8"/>
  <c r="AJ32" i="8"/>
  <c r="AK32" i="8"/>
  <c r="AK28" i="8"/>
  <c r="AJ14" i="8"/>
  <c r="AK14" i="8"/>
  <c r="AJ16" i="8"/>
  <c r="AK26" i="8"/>
  <c r="AK10" i="8"/>
  <c r="AJ29" i="8"/>
  <c r="AK15" i="8"/>
  <c r="AJ15" i="8"/>
  <c r="AK27" i="8"/>
  <c r="AK31" i="8"/>
  <c r="AJ31" i="8"/>
  <c r="AJ13" i="8"/>
  <c r="AK20" i="8"/>
  <c r="AJ25" i="8"/>
  <c r="AK9" i="8"/>
  <c r="AK24" i="8"/>
  <c r="AK11" i="8"/>
  <c r="AJ11" i="8"/>
  <c r="AJ19" i="8"/>
  <c r="AK19" i="8"/>
  <c r="AJ12" i="8"/>
  <c r="AK23" i="8"/>
  <c r="AJ23" i="8"/>
</calcChain>
</file>

<file path=xl/sharedStrings.xml><?xml version="1.0" encoding="utf-8"?>
<sst xmlns="http://schemas.openxmlformats.org/spreadsheetml/2006/main" count="511" uniqueCount="62">
  <si>
    <t>hour</t>
  </si>
  <si>
    <t>load 4 MW</t>
  </si>
  <si>
    <t>load 4 Mvar</t>
  </si>
  <si>
    <t>load 9 MW</t>
  </si>
  <si>
    <t>load 9 Mvar</t>
  </si>
  <si>
    <t>load 14 MW</t>
  </si>
  <si>
    <t>load 14 Mvar</t>
  </si>
  <si>
    <t>sun rating</t>
  </si>
  <si>
    <t>Q limit 4</t>
  </si>
  <si>
    <t>Q limit 914</t>
  </si>
  <si>
    <t>Bus 4 pu</t>
  </si>
  <si>
    <t>Bus 4 angle</t>
  </si>
  <si>
    <t>Bus 9 pu</t>
  </si>
  <si>
    <t>Bus 9 angle</t>
  </si>
  <si>
    <t>Bus 14 pu</t>
  </si>
  <si>
    <t>Bus 14 angle</t>
  </si>
  <si>
    <t>Qgen 4</t>
  </si>
  <si>
    <t>Qgen 9</t>
  </si>
  <si>
    <t>Qgen 14</t>
  </si>
  <si>
    <t>Load 4 MW reduction in P</t>
  </si>
  <si>
    <t>Load 9 MW reduction in P</t>
  </si>
  <si>
    <t>Load 14 MW reduction in P</t>
  </si>
  <si>
    <t>Load 4 % reduction in P</t>
  </si>
  <si>
    <t>% Load 9 reduction in P</t>
  </si>
  <si>
    <t>Load 14 % reduction in P</t>
  </si>
  <si>
    <t>cloudy</t>
  </si>
  <si>
    <t>very sunny</t>
  </si>
  <si>
    <t>moderate sun</t>
  </si>
  <si>
    <t>Moderately Sunny</t>
  </si>
  <si>
    <t>Very Sunny</t>
  </si>
  <si>
    <t>Cloudy</t>
  </si>
  <si>
    <t>Bus 4</t>
  </si>
  <si>
    <t>Bus 9</t>
  </si>
  <si>
    <t>Bus 14</t>
  </si>
  <si>
    <t>% Reduction in Load MW</t>
  </si>
  <si>
    <t>Load 4</t>
  </si>
  <si>
    <t>Load 9</t>
  </si>
  <si>
    <t>Load 14</t>
  </si>
  <si>
    <t>Average</t>
  </si>
  <si>
    <t>Avg of all</t>
  </si>
  <si>
    <t>Sum</t>
  </si>
  <si>
    <t>Avg % Reduction</t>
  </si>
  <si>
    <t>Scenario A: 2x 10MVAR, 1x 50MVAR</t>
  </si>
  <si>
    <t>Scenario B: 1x 100 MVAR</t>
  </si>
  <si>
    <t>Scenario C: 3x 10 MVAR</t>
  </si>
  <si>
    <t>Electricity rates | Ontario Energy Board</t>
  </si>
  <si>
    <t>$ saved - TOU</t>
  </si>
  <si>
    <t>$ saved - ULO</t>
  </si>
  <si>
    <t>$ saved - tiered</t>
  </si>
  <si>
    <t>Price - TOU</t>
  </si>
  <si>
    <t>commerical</t>
  </si>
  <si>
    <t>residential</t>
  </si>
  <si>
    <t>Price (cents/kWh)  - TOU</t>
  </si>
  <si>
    <t>Daily $ saved</t>
  </si>
  <si>
    <t>Yearly $ saved</t>
  </si>
  <si>
    <t>Load 9 $ saved - TOU</t>
  </si>
  <si>
    <t>Load 14 $ saved - TOU</t>
  </si>
  <si>
    <t>TOU</t>
  </si>
  <si>
    <t>Load 4 $ saved - TOU</t>
  </si>
  <si>
    <t>Total</t>
  </si>
  <si>
    <t>Load % of Max</t>
  </si>
  <si>
    <t>$ 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</si>
</sst>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0.000%"/>
    <numFmt numFmtId="165" formatCode="0.00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88">
    <xf numFmtId="0" fontId="0" fillId="0" borderId="0" xfId="0"/>
    <xf numFmtId="0" fontId="3" fillId="0" borderId="0" xfId="0" applyFont="1"/>
    <xf numFmtId="164" fontId="3" fillId="0" borderId="0" xfId="1" applyNumberFormat="1" applyFont="1"/>
    <xf numFmtId="164" fontId="0" fillId="0" borderId="0" xfId="1" applyNumberFormat="1" applyFont="1"/>
    <xf numFmtId="0" fontId="0" fillId="0" borderId="0" xfId="0" applyAlignment="1">
      <alignment horizontal="center"/>
    </xf>
    <xf numFmtId="0" fontId="4" fillId="0" borderId="0" xfId="0" applyFont="1"/>
    <xf numFmtId="164" fontId="0" fillId="0" borderId="0" xfId="1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0" fontId="0" fillId="4" borderId="6" xfId="0" applyFill="1" applyBorder="1" applyAlignment="1">
      <alignment horizontal="center"/>
    </xf>
    <xf numFmtId="164" fontId="0" fillId="0" borderId="7" xfId="1" applyNumberFormat="1" applyFont="1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164" fontId="3" fillId="0" borderId="4" xfId="1" applyNumberFormat="1" applyFont="1" applyBorder="1" applyAlignment="1">
      <alignment horizontal="center"/>
    </xf>
    <xf numFmtId="164" fontId="3" fillId="0" borderId="0" xfId="1" applyNumberFormat="1" applyFont="1" applyBorder="1" applyAlignment="1">
      <alignment horizontal="center"/>
    </xf>
    <xf numFmtId="164" fontId="3" fillId="0" borderId="5" xfId="1" applyNumberFormat="1" applyFont="1" applyBorder="1" applyAlignment="1">
      <alignment horizontal="center"/>
    </xf>
    <xf numFmtId="164" fontId="3" fillId="0" borderId="6" xfId="1" applyNumberFormat="1" applyFont="1" applyBorder="1" applyAlignment="1">
      <alignment horizontal="center"/>
    </xf>
    <xf numFmtId="164" fontId="3" fillId="0" borderId="7" xfId="1" applyNumberFormat="1" applyFont="1" applyBorder="1" applyAlignment="1">
      <alignment horizontal="center"/>
    </xf>
    <xf numFmtId="164" fontId="3" fillId="0" borderId="8" xfId="1" applyNumberFormat="1" applyFont="1" applyBorder="1" applyAlignment="1">
      <alignment horizontal="center"/>
    </xf>
    <xf numFmtId="0" fontId="8" fillId="0" borderId="0" xfId="0" applyFont="1"/>
    <xf numFmtId="164" fontId="0" fillId="0" borderId="0" xfId="0" applyNumberFormat="1"/>
    <xf numFmtId="0" fontId="3" fillId="4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9" fillId="0" borderId="0" xfId="3"/>
    <xf numFmtId="44" fontId="0" fillId="0" borderId="0" xfId="2" applyFont="1"/>
    <xf numFmtId="44" fontId="0" fillId="0" borderId="0" xfId="0" applyNumberFormat="1"/>
    <xf numFmtId="0" fontId="7" fillId="0" borderId="0" xfId="0" applyFont="1"/>
    <xf numFmtId="10" fontId="0" fillId="0" borderId="0" xfId="1" applyNumberFormat="1" applyFont="1"/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0" fillId="6" borderId="4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0" fillId="8" borderId="4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9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1" xfId="0" applyFill="1" applyBorder="1" applyAlignment="1">
      <alignment horizontal="center"/>
    </xf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chemeClr val="tx1"/>
                </a:solidFill>
              </a:rPr>
              <a:t>% MW Reduction in Loads</a:t>
            </a:r>
            <a:r>
              <a:rPr lang="en-CA" b="1" baseline="0">
                <a:solidFill>
                  <a:schemeClr val="tx1"/>
                </a:solidFill>
              </a:rPr>
              <a:t> for 50MVAR, 2x 10MVAR Scenario</a:t>
            </a:r>
            <a:endParaRPr lang="en-CA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Load 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Analysis!$A$9:$A$32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Analysis!$K$9:$K$32</c:f>
              <c:numCache>
                <c:formatCode>0.000%</c:formatCode>
                <c:ptCount val="24"/>
                <c:pt idx="0">
                  <c:v>2.961549134557306E-2</c:v>
                </c:pt>
                <c:pt idx="1">
                  <c:v>2.9585959008677967E-2</c:v>
                </c:pt>
                <c:pt idx="2">
                  <c:v>2.9471533656442613E-2</c:v>
                </c:pt>
                <c:pt idx="3">
                  <c:v>2.9462297456618547E-2</c:v>
                </c:pt>
                <c:pt idx="4">
                  <c:v>2.9604917438409348E-2</c:v>
                </c:pt>
                <c:pt idx="5">
                  <c:v>2.963291923007878E-2</c:v>
                </c:pt>
                <c:pt idx="6">
                  <c:v>3.0685073282142209E-2</c:v>
                </c:pt>
                <c:pt idx="7">
                  <c:v>3.1915427498514552E-2</c:v>
                </c:pt>
                <c:pt idx="8">
                  <c:v>3.133375990080859E-2</c:v>
                </c:pt>
                <c:pt idx="9">
                  <c:v>3.0021061242689901E-2</c:v>
                </c:pt>
                <c:pt idx="10">
                  <c:v>2.8603952956100465E-2</c:v>
                </c:pt>
                <c:pt idx="11">
                  <c:v>2.7859453091507076E-2</c:v>
                </c:pt>
                <c:pt idx="12">
                  <c:v>2.8325689526404119E-2</c:v>
                </c:pt>
                <c:pt idx="13">
                  <c:v>2.8802382253657763E-2</c:v>
                </c:pt>
                <c:pt idx="14">
                  <c:v>3.0317135601092549E-2</c:v>
                </c:pt>
                <c:pt idx="15">
                  <c:v>3.2331576461521953E-2</c:v>
                </c:pt>
                <c:pt idx="16">
                  <c:v>3.4477140451788839E-2</c:v>
                </c:pt>
                <c:pt idx="17">
                  <c:v>3.5501877035917999E-2</c:v>
                </c:pt>
                <c:pt idx="18">
                  <c:v>3.5528128072980031E-2</c:v>
                </c:pt>
                <c:pt idx="19">
                  <c:v>3.5138738870904913E-2</c:v>
                </c:pt>
                <c:pt idx="20">
                  <c:v>3.4271682570363192E-2</c:v>
                </c:pt>
                <c:pt idx="21">
                  <c:v>3.2540230809487806E-2</c:v>
                </c:pt>
                <c:pt idx="22">
                  <c:v>3.0428661439555822E-2</c:v>
                </c:pt>
                <c:pt idx="23">
                  <c:v>2.9637082377956234E-2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C9-464A-A2AD-6A56758465E9}"/>
            </c:ext>
          </c:extLst>
        </c:ser>
        <c:ser>
          <c:idx val="1"/>
          <c:order val="1"/>
          <c:tx>
            <c:v>Load 9</c:v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Analysis!$A$9:$A$32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Analysis!$L$9:$L$32</c:f>
              <c:numCache>
                <c:formatCode>0.000%</c:formatCode>
                <c:ptCount val="24"/>
                <c:pt idx="0">
                  <c:v>2.7708265529564402E-2</c:v>
                </c:pt>
                <c:pt idx="1">
                  <c:v>2.7696407198761375E-2</c:v>
                </c:pt>
                <c:pt idx="2">
                  <c:v>2.7649533861369983E-2</c:v>
                </c:pt>
                <c:pt idx="3">
                  <c:v>2.7645678062637319E-2</c:v>
                </c:pt>
                <c:pt idx="4">
                  <c:v>2.7704230485109744E-2</c:v>
                </c:pt>
                <c:pt idx="5">
                  <c:v>2.7713944102861026E-2</c:v>
                </c:pt>
                <c:pt idx="6">
                  <c:v>2.8145626118044203E-2</c:v>
                </c:pt>
                <c:pt idx="7">
                  <c:v>2.8511945792304913E-2</c:v>
                </c:pt>
                <c:pt idx="8">
                  <c:v>2.7767122300133909E-2</c:v>
                </c:pt>
                <c:pt idx="9">
                  <c:v>2.6486144833234967E-2</c:v>
                </c:pt>
                <c:pt idx="10">
                  <c:v>2.5143559896324118E-2</c:v>
                </c:pt>
                <c:pt idx="11">
                  <c:v>2.4411793487036176E-2</c:v>
                </c:pt>
                <c:pt idx="12">
                  <c:v>2.4782187529469677E-2</c:v>
                </c:pt>
                <c:pt idx="13">
                  <c:v>2.5188676601987176E-2</c:v>
                </c:pt>
                <c:pt idx="14">
                  <c:v>2.6449141292806611E-2</c:v>
                </c:pt>
                <c:pt idx="15">
                  <c:v>2.7950765559668227E-2</c:v>
                </c:pt>
                <c:pt idx="16">
                  <c:v>2.9387058538601209E-2</c:v>
                </c:pt>
                <c:pt idx="17">
                  <c:v>3.0109191944694785E-2</c:v>
                </c:pt>
                <c:pt idx="18">
                  <c:v>3.0194676768883644E-2</c:v>
                </c:pt>
                <c:pt idx="19">
                  <c:v>3.0036355407313416E-2</c:v>
                </c:pt>
                <c:pt idx="20">
                  <c:v>2.9670734185068243E-2</c:v>
                </c:pt>
                <c:pt idx="21">
                  <c:v>2.8940565331130954E-2</c:v>
                </c:pt>
                <c:pt idx="22">
                  <c:v>2.8048868866180309E-2</c:v>
                </c:pt>
                <c:pt idx="23">
                  <c:v>2.7715256017469981E-2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C9-464A-A2AD-6A56758465E9}"/>
            </c:ext>
          </c:extLst>
        </c:ser>
        <c:ser>
          <c:idx val="2"/>
          <c:order val="2"/>
          <c:tx>
            <c:v>Load 14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Analysis!$A$9:$A$32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Analysis!$M$9:$M$32</c:f>
              <c:numCache>
                <c:formatCode>0.000%</c:formatCode>
                <c:ptCount val="24"/>
                <c:pt idx="0">
                  <c:v>3.5293576025838679E-2</c:v>
                </c:pt>
                <c:pt idx="1">
                  <c:v>3.5266433857780152E-2</c:v>
                </c:pt>
                <c:pt idx="2">
                  <c:v>3.5226505236192709E-2</c:v>
                </c:pt>
                <c:pt idx="3">
                  <c:v>3.5223334845072118E-2</c:v>
                </c:pt>
                <c:pt idx="4">
                  <c:v>3.5275607770207919E-2</c:v>
                </c:pt>
                <c:pt idx="5">
                  <c:v>3.5322961896834738E-2</c:v>
                </c:pt>
                <c:pt idx="6">
                  <c:v>3.564744822844141E-2</c:v>
                </c:pt>
                <c:pt idx="7">
                  <c:v>3.5755796317503828E-2</c:v>
                </c:pt>
                <c:pt idx="8">
                  <c:v>3.4755383623827969E-2</c:v>
                </c:pt>
                <c:pt idx="9">
                  <c:v>3.3160984484953672E-2</c:v>
                </c:pt>
                <c:pt idx="10">
                  <c:v>3.1506153583598463E-2</c:v>
                </c:pt>
                <c:pt idx="11">
                  <c:v>3.0592734708538145E-2</c:v>
                </c:pt>
                <c:pt idx="12">
                  <c:v>3.1018317083651104E-2</c:v>
                </c:pt>
                <c:pt idx="13">
                  <c:v>3.1499666060932401E-2</c:v>
                </c:pt>
                <c:pt idx="14">
                  <c:v>3.2977474042213496E-2</c:v>
                </c:pt>
                <c:pt idx="15">
                  <c:v>3.4653292287590023E-2</c:v>
                </c:pt>
                <c:pt idx="16">
                  <c:v>3.6167729552297072E-2</c:v>
                </c:pt>
                <c:pt idx="17">
                  <c:v>3.6951768162478915E-2</c:v>
                </c:pt>
                <c:pt idx="18">
                  <c:v>3.7083116097867797E-2</c:v>
                </c:pt>
                <c:pt idx="19">
                  <c:v>3.6978481414913257E-2</c:v>
                </c:pt>
                <c:pt idx="20">
                  <c:v>3.6723756626710617E-2</c:v>
                </c:pt>
                <c:pt idx="21">
                  <c:v>3.6213977935472791E-2</c:v>
                </c:pt>
                <c:pt idx="22">
                  <c:v>3.5590501980471659E-2</c:v>
                </c:pt>
                <c:pt idx="23">
                  <c:v>3.5329925142721555E-2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C9-464A-A2AD-6A5675846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097392"/>
        <c:axId val="293097872"/>
      </c:scatterChart>
      <c:valAx>
        <c:axId val="293097392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097872"/>
        <c:crosses val="autoZero"/>
        <c:crossBetween val="midCat"/>
        <c:majorUnit val="2"/>
      </c:valAx>
      <c:valAx>
        <c:axId val="293097872"/>
        <c:scaling>
          <c:orientation val="minMax"/>
          <c:max val="3.8000000000000006E-2"/>
          <c:min val="2.4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097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chemeClr val="tx1"/>
                </a:solidFill>
              </a:rPr>
              <a:t>% MW Reduction in Loads</a:t>
            </a:r>
            <a:r>
              <a:rPr lang="en-CA" b="1" baseline="0">
                <a:solidFill>
                  <a:schemeClr val="tx1"/>
                </a:solidFill>
              </a:rPr>
              <a:t> 3x 10MVAR Scenario</a:t>
            </a:r>
            <a:endParaRPr lang="en-CA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Analysis!$A$9:$A$32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Analysis!$AG$9:$AG$32</c:f>
              <c:numCache>
                <c:formatCode>0.000%</c:formatCode>
                <c:ptCount val="24"/>
                <c:pt idx="0">
                  <c:v>1.056790381900192E-2</c:v>
                </c:pt>
                <c:pt idx="1">
                  <c:v>1.0553272031360162E-2</c:v>
                </c:pt>
                <c:pt idx="2">
                  <c:v>1.0446672022941628E-2</c:v>
                </c:pt>
                <c:pt idx="3">
                  <c:v>1.043769877857339E-2</c:v>
                </c:pt>
                <c:pt idx="4">
                  <c:v>1.056854188395063E-2</c:v>
                </c:pt>
                <c:pt idx="5">
                  <c:v>1.0561271865535796E-2</c:v>
                </c:pt>
                <c:pt idx="6">
                  <c:v>1.0538686319797321E-2</c:v>
                </c:pt>
                <c:pt idx="7">
                  <c:v>1.0428393413479189E-2</c:v>
                </c:pt>
                <c:pt idx="8">
                  <c:v>1.0130615355020706E-2</c:v>
                </c:pt>
                <c:pt idx="9">
                  <c:v>9.7214714348610905E-3</c:v>
                </c:pt>
                <c:pt idx="10">
                  <c:v>9.3028726836544146E-3</c:v>
                </c:pt>
                <c:pt idx="11">
                  <c:v>9.0655375504858152E-3</c:v>
                </c:pt>
                <c:pt idx="12">
                  <c:v>9.1327169889764259E-3</c:v>
                </c:pt>
                <c:pt idx="13">
                  <c:v>9.2489807464605223E-3</c:v>
                </c:pt>
                <c:pt idx="14">
                  <c:v>9.5717665453162563E-3</c:v>
                </c:pt>
                <c:pt idx="15">
                  <c:v>9.9279672021010887E-3</c:v>
                </c:pt>
                <c:pt idx="16">
                  <c:v>1.0355480759377329E-2</c:v>
                </c:pt>
                <c:pt idx="17">
                  <c:v>1.1025233424761126E-2</c:v>
                </c:pt>
                <c:pt idx="18">
                  <c:v>1.0965111772375545E-2</c:v>
                </c:pt>
                <c:pt idx="19">
                  <c:v>1.0576217218321448E-2</c:v>
                </c:pt>
                <c:pt idx="20">
                  <c:v>1.0510833248646207E-2</c:v>
                </c:pt>
                <c:pt idx="21">
                  <c:v>1.0533716266421286E-2</c:v>
                </c:pt>
                <c:pt idx="22">
                  <c:v>1.0548372313815887E-2</c:v>
                </c:pt>
                <c:pt idx="23">
                  <c:v>1.0560055854839606E-2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97-427C-9013-5B60B8FE833F}"/>
            </c:ext>
          </c:extLst>
        </c:ser>
        <c:ser>
          <c:idx val="1"/>
          <c:order val="1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Analysis!$A$9:$A$32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Analysis!$AH$9:$AH$32</c:f>
              <c:numCache>
                <c:formatCode>0.000%</c:formatCode>
                <c:ptCount val="24"/>
                <c:pt idx="0">
                  <c:v>1.9705800628591195E-2</c:v>
                </c:pt>
                <c:pt idx="1">
                  <c:v>1.9695316555371434E-2</c:v>
                </c:pt>
                <c:pt idx="2">
                  <c:v>1.9649819475047448E-2</c:v>
                </c:pt>
                <c:pt idx="3">
                  <c:v>1.9646107353937511E-2</c:v>
                </c:pt>
                <c:pt idx="4">
                  <c:v>1.9702134960764377E-2</c:v>
                </c:pt>
                <c:pt idx="5">
                  <c:v>1.970798144750377E-2</c:v>
                </c:pt>
                <c:pt idx="6">
                  <c:v>1.9692913741125233E-2</c:v>
                </c:pt>
                <c:pt idx="7">
                  <c:v>1.9429026904244688E-2</c:v>
                </c:pt>
                <c:pt idx="8">
                  <c:v>1.8647246286933962E-2</c:v>
                </c:pt>
                <c:pt idx="9">
                  <c:v>1.7568011436595112E-2</c:v>
                </c:pt>
                <c:pt idx="10">
                  <c:v>1.6463583467809989E-2</c:v>
                </c:pt>
                <c:pt idx="11">
                  <c:v>1.5838847093502573E-2</c:v>
                </c:pt>
                <c:pt idx="12">
                  <c:v>1.6017242215198908E-2</c:v>
                </c:pt>
                <c:pt idx="13">
                  <c:v>1.632491874393379E-2</c:v>
                </c:pt>
                <c:pt idx="14">
                  <c:v>1.7180801466154978E-2</c:v>
                </c:pt>
                <c:pt idx="15">
                  <c:v>1.8163863114443034E-2</c:v>
                </c:pt>
                <c:pt idx="16">
                  <c:v>1.9098411845236168E-2</c:v>
                </c:pt>
                <c:pt idx="17">
                  <c:v>1.9813280255158834E-2</c:v>
                </c:pt>
                <c:pt idx="18">
                  <c:v>1.9897710567772169E-2</c:v>
                </c:pt>
                <c:pt idx="19">
                  <c:v>1.974060900636803E-2</c:v>
                </c:pt>
                <c:pt idx="20">
                  <c:v>1.9709090180781545E-2</c:v>
                </c:pt>
                <c:pt idx="21">
                  <c:v>1.9711731961988641E-2</c:v>
                </c:pt>
                <c:pt idx="22">
                  <c:v>1.9712669754798719E-2</c:v>
                </c:pt>
                <c:pt idx="23">
                  <c:v>1.9708435452062134E-2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97-427C-9013-5B60B8FE833F}"/>
            </c:ext>
          </c:extLst>
        </c:ser>
        <c:ser>
          <c:idx val="2"/>
          <c:order val="2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Analysis!$A$9:$A$32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Analysis!$AI$9:$AI$32</c:f>
              <c:numCache>
                <c:formatCode>0.000%</c:formatCode>
                <c:ptCount val="24"/>
                <c:pt idx="0">
                  <c:v>3.021722377940244E-2</c:v>
                </c:pt>
                <c:pt idx="1">
                  <c:v>3.0187160737157721E-2</c:v>
                </c:pt>
                <c:pt idx="2">
                  <c:v>3.014758390036747E-2</c:v>
                </c:pt>
                <c:pt idx="3">
                  <c:v>3.0144204157055602E-2</c:v>
                </c:pt>
                <c:pt idx="4">
                  <c:v>3.0196084770263885E-2</c:v>
                </c:pt>
                <c:pt idx="5">
                  <c:v>3.0248326681573061E-2</c:v>
                </c:pt>
                <c:pt idx="6">
                  <c:v>3.0290845751025017E-2</c:v>
                </c:pt>
                <c:pt idx="7">
                  <c:v>2.9926024390713565E-2</c:v>
                </c:pt>
                <c:pt idx="8">
                  <c:v>2.8729322210134588E-2</c:v>
                </c:pt>
                <c:pt idx="9">
                  <c:v>2.7066514977857739E-2</c:v>
                </c:pt>
                <c:pt idx="10">
                  <c:v>2.5364388205995188E-2</c:v>
                </c:pt>
                <c:pt idx="11">
                  <c:v>2.4403175203865E-2</c:v>
                </c:pt>
                <c:pt idx="12">
                  <c:v>2.468081445482391E-2</c:v>
                </c:pt>
                <c:pt idx="13">
                  <c:v>2.5156880076941824E-2</c:v>
                </c:pt>
                <c:pt idx="14">
                  <c:v>2.6483322732764755E-2</c:v>
                </c:pt>
                <c:pt idx="15">
                  <c:v>2.8025233203927868E-2</c:v>
                </c:pt>
                <c:pt idx="16">
                  <c:v>2.9463666305205014E-2</c:v>
                </c:pt>
                <c:pt idx="17">
                  <c:v>3.0400675739116312E-2</c:v>
                </c:pt>
                <c:pt idx="18">
                  <c:v>3.0570280184618069E-2</c:v>
                </c:pt>
                <c:pt idx="19">
                  <c:v>3.0467011100124636E-2</c:v>
                </c:pt>
                <c:pt idx="20">
                  <c:v>3.042079616342841E-2</c:v>
                </c:pt>
                <c:pt idx="21">
                  <c:v>3.0371238026203624E-2</c:v>
                </c:pt>
                <c:pt idx="22">
                  <c:v>3.0313441713707985E-2</c:v>
                </c:pt>
                <c:pt idx="23">
                  <c:v>3.0255897454571707E-2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97-427C-9013-5B60B8FE833F}"/>
            </c:ext>
          </c:extLst>
        </c:ser>
        <c:ser>
          <c:idx val="3"/>
          <c:order val="3"/>
          <c:tx>
            <c:v>Avg</c:v>
          </c:tx>
          <c:spPr>
            <a:ln w="19050" cap="rnd">
              <a:solidFill>
                <a:schemeClr val="bg2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Analysis!$Z$9:$Z$32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Analysis!$AJ$9:$AJ$32</c:f>
              <c:numCache>
                <c:formatCode>0.000%</c:formatCode>
                <c:ptCount val="24"/>
                <c:pt idx="0">
                  <c:v>2.0163642742331851E-2</c:v>
                </c:pt>
                <c:pt idx="1">
                  <c:v>2.0145249774629771E-2</c:v>
                </c:pt>
                <c:pt idx="2">
                  <c:v>2.0081358466118849E-2</c:v>
                </c:pt>
                <c:pt idx="3">
                  <c:v>2.0076003429855504E-2</c:v>
                </c:pt>
                <c:pt idx="4">
                  <c:v>2.0155587204992966E-2</c:v>
                </c:pt>
                <c:pt idx="5">
                  <c:v>2.0172526664870877E-2</c:v>
                </c:pt>
                <c:pt idx="6">
                  <c:v>2.0174148603982523E-2</c:v>
                </c:pt>
                <c:pt idx="7">
                  <c:v>1.992781490281248E-2</c:v>
                </c:pt>
                <c:pt idx="8">
                  <c:v>1.9169061284029752E-2</c:v>
                </c:pt>
                <c:pt idx="9">
                  <c:v>1.8118665949771313E-2</c:v>
                </c:pt>
                <c:pt idx="10">
                  <c:v>1.7043614785819863E-2</c:v>
                </c:pt>
                <c:pt idx="11">
                  <c:v>1.6435853282617794E-2</c:v>
                </c:pt>
                <c:pt idx="12">
                  <c:v>1.6610257886333083E-2</c:v>
                </c:pt>
                <c:pt idx="13">
                  <c:v>1.6910259855778712E-2</c:v>
                </c:pt>
                <c:pt idx="14">
                  <c:v>1.7745296914745329E-2</c:v>
                </c:pt>
                <c:pt idx="15">
                  <c:v>1.8705687840157331E-2</c:v>
                </c:pt>
                <c:pt idx="16">
                  <c:v>1.9639186303272837E-2</c:v>
                </c:pt>
                <c:pt idx="17">
                  <c:v>2.0413063139678757E-2</c:v>
                </c:pt>
                <c:pt idx="18">
                  <c:v>2.0477700841588595E-2</c:v>
                </c:pt>
                <c:pt idx="19">
                  <c:v>2.0261279108271371E-2</c:v>
                </c:pt>
                <c:pt idx="20">
                  <c:v>2.0213573197618722E-2</c:v>
                </c:pt>
                <c:pt idx="21">
                  <c:v>2.0205562084871186E-2</c:v>
                </c:pt>
                <c:pt idx="22">
                  <c:v>2.0191494594107531E-2</c:v>
                </c:pt>
                <c:pt idx="23">
                  <c:v>2.0174796253824484E-2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7897-427C-9013-5B60B8FE8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097392"/>
        <c:axId val="293097872"/>
      </c:scatterChart>
      <c:valAx>
        <c:axId val="293097392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097872"/>
        <c:crosses val="autoZero"/>
        <c:crossBetween val="midCat"/>
        <c:majorUnit val="2"/>
      </c:valAx>
      <c:valAx>
        <c:axId val="293097872"/>
        <c:scaling>
          <c:orientation val="minMax"/>
          <c:min val="7.5000000000000023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097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chemeClr val="tx1"/>
                </a:solidFill>
              </a:rPr>
              <a:t>% MW Reduction in Loads</a:t>
            </a:r>
            <a:r>
              <a:rPr lang="en-CA" b="1" baseline="0">
                <a:solidFill>
                  <a:schemeClr val="tx1"/>
                </a:solidFill>
              </a:rPr>
              <a:t> for 1x 100MVAR Scenario</a:t>
            </a:r>
            <a:endParaRPr lang="en-CA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Load 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Analysis!$A$9:$A$32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Analysis!$V$9:$V$32</c:f>
              <c:numCache>
                <c:formatCode>0.000%</c:formatCode>
                <c:ptCount val="24"/>
                <c:pt idx="0">
                  <c:v>4.7015567324102163E-2</c:v>
                </c:pt>
                <c:pt idx="1">
                  <c:v>4.7690113475038411E-2</c:v>
                </c:pt>
                <c:pt idx="2">
                  <c:v>4.795940322770708E-2</c:v>
                </c:pt>
                <c:pt idx="3">
                  <c:v>4.7981289423327397E-2</c:v>
                </c:pt>
                <c:pt idx="4">
                  <c:v>4.7547464313918771E-2</c:v>
                </c:pt>
                <c:pt idx="5">
                  <c:v>4.6063474158287598E-2</c:v>
                </c:pt>
                <c:pt idx="6">
                  <c:v>4.3737252857510504E-2</c:v>
                </c:pt>
                <c:pt idx="7">
                  <c:v>4.210630175313753E-2</c:v>
                </c:pt>
                <c:pt idx="8">
                  <c:v>4.1638311171788643E-2</c:v>
                </c:pt>
                <c:pt idx="9">
                  <c:v>4.1449341826077818E-2</c:v>
                </c:pt>
                <c:pt idx="10">
                  <c:v>4.0950219225679638E-2</c:v>
                </c:pt>
                <c:pt idx="11">
                  <c:v>3.9055682118295729E-2</c:v>
                </c:pt>
                <c:pt idx="12">
                  <c:v>3.9619923642974508E-2</c:v>
                </c:pt>
                <c:pt idx="13">
                  <c:v>4.0533708117237464E-2</c:v>
                </c:pt>
                <c:pt idx="14">
                  <c:v>4.0772964882065221E-2</c:v>
                </c:pt>
                <c:pt idx="15">
                  <c:v>4.0010619089772652E-2</c:v>
                </c:pt>
                <c:pt idx="16">
                  <c:v>3.8850515068907764E-2</c:v>
                </c:pt>
                <c:pt idx="17">
                  <c:v>3.8374418607806597E-2</c:v>
                </c:pt>
                <c:pt idx="18">
                  <c:v>3.8513102303995017E-2</c:v>
                </c:pt>
                <c:pt idx="19">
                  <c:v>3.8955908840989241E-2</c:v>
                </c:pt>
                <c:pt idx="20">
                  <c:v>3.9907253205798875E-2</c:v>
                </c:pt>
                <c:pt idx="21">
                  <c:v>4.1799802979652335E-2</c:v>
                </c:pt>
                <c:pt idx="22">
                  <c:v>4.4029657312122703E-2</c:v>
                </c:pt>
                <c:pt idx="23">
                  <c:v>4.5845994557326832E-2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53-4C4D-B5ED-1D06D8345B83}"/>
            </c:ext>
          </c:extLst>
        </c:ser>
        <c:ser>
          <c:idx val="1"/>
          <c:order val="1"/>
          <c:tx>
            <c:v>Load 9</c:v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Analysis!$A$9:$A$32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Analysis!$W$9:$W$32</c:f>
              <c:numCache>
                <c:formatCode>0.000%</c:formatCode>
                <c:ptCount val="24"/>
                <c:pt idx="0">
                  <c:v>1.8307269312720059E-2</c:v>
                </c:pt>
                <c:pt idx="1">
                  <c:v>1.8610608055191019E-2</c:v>
                </c:pt>
                <c:pt idx="2">
                  <c:v>1.8729081984219798E-2</c:v>
                </c:pt>
                <c:pt idx="3">
                  <c:v>1.8738757540780398E-2</c:v>
                </c:pt>
                <c:pt idx="4">
                  <c:v>1.8548536496979417E-2</c:v>
                </c:pt>
                <c:pt idx="5">
                  <c:v>1.7913549917322257E-2</c:v>
                </c:pt>
                <c:pt idx="6">
                  <c:v>1.6911496081596877E-2</c:v>
                </c:pt>
                <c:pt idx="7">
                  <c:v>1.6212148398363994E-2</c:v>
                </c:pt>
                <c:pt idx="8">
                  <c:v>1.6011855385760183E-2</c:v>
                </c:pt>
                <c:pt idx="9">
                  <c:v>1.5923314343088954E-2</c:v>
                </c:pt>
                <c:pt idx="10">
                  <c:v>1.5720854130708888E-2</c:v>
                </c:pt>
                <c:pt idx="11">
                  <c:v>1.4925579284902655E-2</c:v>
                </c:pt>
                <c:pt idx="12">
                  <c:v>1.5161151762442114E-2</c:v>
                </c:pt>
                <c:pt idx="13">
                  <c:v>1.5543758214405994E-2</c:v>
                </c:pt>
                <c:pt idx="14">
                  <c:v>1.5635770680358207E-2</c:v>
                </c:pt>
                <c:pt idx="15">
                  <c:v>1.5316887977511545E-2</c:v>
                </c:pt>
                <c:pt idx="16">
                  <c:v>1.4822899920175599E-2</c:v>
                </c:pt>
                <c:pt idx="17">
                  <c:v>1.4620377790829069E-2</c:v>
                </c:pt>
                <c:pt idx="18">
                  <c:v>1.4679469043186344E-2</c:v>
                </c:pt>
                <c:pt idx="19">
                  <c:v>1.4867705345737881E-2</c:v>
                </c:pt>
                <c:pt idx="20">
                  <c:v>1.5272634449800787E-2</c:v>
                </c:pt>
                <c:pt idx="21">
                  <c:v>1.6081055373071779E-2</c:v>
                </c:pt>
                <c:pt idx="22">
                  <c:v>1.7037245936104867E-2</c:v>
                </c:pt>
                <c:pt idx="23">
                  <c:v>1.7819538644449143E-2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53-4C4D-B5ED-1D06D8345B83}"/>
            </c:ext>
          </c:extLst>
        </c:ser>
        <c:ser>
          <c:idx val="2"/>
          <c:order val="2"/>
          <c:tx>
            <c:v>Load 14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Analysis!$A$9:$A$32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Analysis!$X$9:$X$32</c:f>
              <c:numCache>
                <c:formatCode>0.000%</c:formatCode>
                <c:ptCount val="24"/>
                <c:pt idx="0">
                  <c:v>1.1415965246851612E-2</c:v>
                </c:pt>
                <c:pt idx="1">
                  <c:v>1.1622137773444802E-2</c:v>
                </c:pt>
                <c:pt idx="2">
                  <c:v>1.1698991474298088E-2</c:v>
                </c:pt>
                <c:pt idx="3">
                  <c:v>1.1705351415766492E-2</c:v>
                </c:pt>
                <c:pt idx="4">
                  <c:v>1.1581745740855222E-2</c:v>
                </c:pt>
                <c:pt idx="5">
                  <c:v>1.1186365992299017E-2</c:v>
                </c:pt>
                <c:pt idx="6">
                  <c:v>1.0548357117547319E-2</c:v>
                </c:pt>
                <c:pt idx="7">
                  <c:v>1.0103871923889363E-2</c:v>
                </c:pt>
                <c:pt idx="8">
                  <c:v>9.976962806206649E-3</c:v>
                </c:pt>
                <c:pt idx="9">
                  <c:v>9.9116537057114436E-3</c:v>
                </c:pt>
                <c:pt idx="10">
                  <c:v>9.7941597812297894E-3</c:v>
                </c:pt>
                <c:pt idx="11">
                  <c:v>9.2983567071135559E-3</c:v>
                </c:pt>
                <c:pt idx="12">
                  <c:v>9.44437399150992E-3</c:v>
                </c:pt>
                <c:pt idx="13">
                  <c:v>9.6824508166407312E-3</c:v>
                </c:pt>
                <c:pt idx="14">
                  <c:v>9.7309156545083084E-3</c:v>
                </c:pt>
                <c:pt idx="15">
                  <c:v>9.5362700287444004E-3</c:v>
                </c:pt>
                <c:pt idx="16">
                  <c:v>9.2231816314299764E-3</c:v>
                </c:pt>
                <c:pt idx="17">
                  <c:v>9.0949815540813158E-3</c:v>
                </c:pt>
                <c:pt idx="18">
                  <c:v>9.1323027884105921E-3</c:v>
                </c:pt>
                <c:pt idx="19">
                  <c:v>9.2516007091241886E-3</c:v>
                </c:pt>
                <c:pt idx="20">
                  <c:v>9.5081330239105352E-3</c:v>
                </c:pt>
                <c:pt idx="21">
                  <c:v>1.0020677833745772E-2</c:v>
                </c:pt>
                <c:pt idx="22">
                  <c:v>1.0628182697950694E-2</c:v>
                </c:pt>
                <c:pt idx="23">
                  <c:v>1.1126702511150039E-2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953-4C4D-B5ED-1D06D8345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097392"/>
        <c:axId val="293097872"/>
      </c:scatterChart>
      <c:valAx>
        <c:axId val="293097392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097872"/>
        <c:crosses val="autoZero"/>
        <c:crossBetween val="midCat"/>
        <c:majorUnit val="2"/>
      </c:valAx>
      <c:valAx>
        <c:axId val="293097872"/>
        <c:scaling>
          <c:orientation val="minMax"/>
          <c:max val="5.000000000000001E-2"/>
          <c:min val="5.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097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380998</xdr:colOff>
      <xdr:row>32</xdr:row>
      <xdr:rowOff>174811</xdr:rowOff>
    </xdr:from>
    <xdr:to>
      <xdr:col>12</xdr:col>
      <xdr:colOff>67234</xdr:colOff>
      <xdr:row>51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89F8D4-C8E3-B0E0-CE1B-6B5AAF39C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587375</xdr:colOff>
      <xdr:row>36</xdr:row>
      <xdr:rowOff>0</xdr:rowOff>
    </xdr:from>
    <xdr:to>
      <xdr:col>11</xdr:col>
      <xdr:colOff>565150</xdr:colOff>
      <xdr:row>37</xdr:row>
      <xdr:rowOff>101600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E7B9871-FEE7-B148-13BB-BC7CDD114DA8}"/>
            </a:ext>
          </a:extLst>
        </xdr:cNvPr>
        <xdr:cNvSpPr txBox="1"/>
      </xdr:nvSpPr>
      <xdr:spPr>
        <a:xfrm>
          <a:off x="6683375" y="6731000"/>
          <a:ext cx="5873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solidFill>
                <a:srgbClr val="FF0000"/>
              </a:solidFill>
            </a:rPr>
            <a:t>Bus 14</a:t>
          </a:r>
        </a:p>
      </xdr:txBody>
    </xdr:sp>
    <xdr:clientData/>
  </xdr:twoCellAnchor>
  <xdr:twoCellAnchor>
    <xdr:from>
      <xdr:col>9</xdr:col>
      <xdr:colOff>574675</xdr:colOff>
      <xdr:row>40</xdr:row>
      <xdr:rowOff>0</xdr:rowOff>
    </xdr:from>
    <xdr:to>
      <xdr:col>10</xdr:col>
      <xdr:colOff>552450</xdr:colOff>
      <xdr:row>41</xdr:row>
      <xdr:rowOff>101600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9B350D1-7504-4DD7-968C-EF8B9DBE0F79}"/>
            </a:ext>
          </a:extLst>
        </xdr:cNvPr>
        <xdr:cNvSpPr txBox="1"/>
      </xdr:nvSpPr>
      <xdr:spPr>
        <a:xfrm>
          <a:off x="6061075" y="7467600"/>
          <a:ext cx="5873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solidFill>
                <a:schemeClr val="accent5"/>
              </a:solidFill>
            </a:rPr>
            <a:t>Bus 4</a:t>
          </a:r>
        </a:p>
      </xdr:txBody>
    </xdr:sp>
    <xdr:clientData/>
  </xdr:twoCellAnchor>
  <xdr:twoCellAnchor>
    <xdr:from>
      <xdr:col>9</xdr:col>
      <xdr:colOff>552450</xdr:colOff>
      <xdr:row>44</xdr:row>
      <xdr:rowOff>25400</xdr:rowOff>
    </xdr:from>
    <xdr:to>
      <xdr:col>10</xdr:col>
      <xdr:colOff>530225</xdr:colOff>
      <xdr:row>45</xdr:row>
      <xdr:rowOff>127000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384D875-2696-4B0D-9FC1-C6C278212FE9}"/>
            </a:ext>
          </a:extLst>
        </xdr:cNvPr>
        <xdr:cNvSpPr txBox="1"/>
      </xdr:nvSpPr>
      <xdr:spPr>
        <a:xfrm>
          <a:off x="6038850" y="8229600"/>
          <a:ext cx="5873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solidFill>
                <a:schemeClr val="accent4">
                  <a:lumMod val="50000"/>
                </a:schemeClr>
              </a:solidFill>
            </a:rPr>
            <a:t>Bus 9</a:t>
          </a:r>
        </a:p>
      </xdr:txBody>
    </xdr:sp>
    <xdr:clientData/>
  </xdr:twoCellAnchor>
  <xdr:twoCellAnchor>
    <xdr:from>
      <xdr:col>25</xdr:col>
      <xdr:colOff>7470</xdr:colOff>
      <xdr:row>33</xdr:row>
      <xdr:rowOff>59765</xdr:rowOff>
    </xdr:from>
    <xdr:to>
      <xdr:col>35</xdr:col>
      <xdr:colOff>306295</xdr:colOff>
      <xdr:row>51</xdr:row>
      <xdr:rowOff>116542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CD5D4C-4AE7-48CD-96EF-E637BF5DE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470833</xdr:colOff>
      <xdr:row>35</xdr:row>
      <xdr:rowOff>104589</xdr:rowOff>
    </xdr:from>
    <xdr:to>
      <xdr:col>34</xdr:col>
      <xdr:colOff>448609</xdr:colOff>
      <xdr:row>37</xdr:row>
      <xdr:rowOff>19424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5908696-ED67-4F3F-B5CA-73142860B70C}"/>
            </a:ext>
          </a:extLst>
        </xdr:cNvPr>
        <xdr:cNvSpPr txBox="1"/>
      </xdr:nvSpPr>
      <xdr:spPr>
        <a:xfrm>
          <a:off x="20686245" y="6745942"/>
          <a:ext cx="590364" cy="2883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solidFill>
                <a:srgbClr val="FF0000"/>
              </a:solidFill>
            </a:rPr>
            <a:t>Bus 14</a:t>
          </a:r>
        </a:p>
      </xdr:txBody>
    </xdr:sp>
    <xdr:clientData/>
  </xdr:twoCellAnchor>
  <xdr:twoCellAnchor>
    <xdr:from>
      <xdr:col>33</xdr:col>
      <xdr:colOff>413310</xdr:colOff>
      <xdr:row>46</xdr:row>
      <xdr:rowOff>171823</xdr:rowOff>
    </xdr:from>
    <xdr:to>
      <xdr:col>34</xdr:col>
      <xdr:colOff>391085</xdr:colOff>
      <xdr:row>48</xdr:row>
      <xdr:rowOff>86659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39B5618-ED5B-4FE1-B8C6-7603453BF139}"/>
            </a:ext>
          </a:extLst>
        </xdr:cNvPr>
        <xdr:cNvSpPr txBox="1"/>
      </xdr:nvSpPr>
      <xdr:spPr>
        <a:xfrm>
          <a:off x="20628722" y="8867588"/>
          <a:ext cx="590363" cy="288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solidFill>
                <a:schemeClr val="accent5"/>
              </a:solidFill>
            </a:rPr>
            <a:t>Bus 4</a:t>
          </a:r>
        </a:p>
      </xdr:txBody>
    </xdr:sp>
    <xdr:clientData/>
  </xdr:twoCellAnchor>
  <xdr:twoCellAnchor>
    <xdr:from>
      <xdr:col>33</xdr:col>
      <xdr:colOff>443379</xdr:colOff>
      <xdr:row>43</xdr:row>
      <xdr:rowOff>10458</xdr:rowOff>
    </xdr:from>
    <xdr:to>
      <xdr:col>34</xdr:col>
      <xdr:colOff>421154</xdr:colOff>
      <xdr:row>44</xdr:row>
      <xdr:rowOff>112059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AF4FBD8-9486-49C8-BC06-7DC5009E5761}"/>
            </a:ext>
          </a:extLst>
        </xdr:cNvPr>
        <xdr:cNvSpPr txBox="1"/>
      </xdr:nvSpPr>
      <xdr:spPr>
        <a:xfrm>
          <a:off x="20658791" y="8145929"/>
          <a:ext cx="590363" cy="288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solidFill>
                <a:schemeClr val="accent4">
                  <a:lumMod val="50000"/>
                </a:schemeClr>
              </a:solidFill>
            </a:rPr>
            <a:t>Bus 9</a:t>
          </a:r>
        </a:p>
      </xdr:txBody>
    </xdr:sp>
    <xdr:clientData/>
  </xdr:twoCellAnchor>
  <xdr:twoCellAnchor>
    <xdr:from>
      <xdr:col>33</xdr:col>
      <xdr:colOff>334122</xdr:colOff>
      <xdr:row>41</xdr:row>
      <xdr:rowOff>92636</xdr:rowOff>
    </xdr:from>
    <xdr:to>
      <xdr:col>34</xdr:col>
      <xdr:colOff>537883</xdr:colOff>
      <xdr:row>43</xdr:row>
      <xdr:rowOff>29883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1AA60AE-A4F8-46AF-9922-4F8F49CAB97A}"/>
            </a:ext>
          </a:extLst>
        </xdr:cNvPr>
        <xdr:cNvSpPr txBox="1"/>
      </xdr:nvSpPr>
      <xdr:spPr>
        <a:xfrm>
          <a:off x="20549534" y="7854577"/>
          <a:ext cx="816349" cy="3107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solidFill>
                <a:schemeClr val="bg2">
                  <a:lumMod val="50000"/>
                </a:schemeClr>
              </a:solidFill>
            </a:rPr>
            <a:t>Average</a:t>
          </a:r>
        </a:p>
      </xdr:txBody>
    </xdr:sp>
    <xdr:clientData/>
  </xdr:twoCellAnchor>
  <xdr:twoCellAnchor>
    <xdr:from>
      <xdr:col>13</xdr:col>
      <xdr:colOff>134470</xdr:colOff>
      <xdr:row>33</xdr:row>
      <xdr:rowOff>149411</xdr:rowOff>
    </xdr:from>
    <xdr:to>
      <xdr:col>23</xdr:col>
      <xdr:colOff>433295</xdr:colOff>
      <xdr:row>52</xdr:row>
      <xdr:rowOff>19423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002DC38-8BF7-4983-A06E-65DDE7E559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301998</xdr:colOff>
      <xdr:row>47</xdr:row>
      <xdr:rowOff>47812</xdr:rowOff>
    </xdr:from>
    <xdr:to>
      <xdr:col>23</xdr:col>
      <xdr:colOff>279774</xdr:colOff>
      <xdr:row>48</xdr:row>
      <xdr:rowOff>149411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614B2F9-18F4-486B-AFDB-83642DE13672}"/>
            </a:ext>
          </a:extLst>
        </xdr:cNvPr>
        <xdr:cNvSpPr txBox="1"/>
      </xdr:nvSpPr>
      <xdr:spPr>
        <a:xfrm>
          <a:off x="13778939" y="8930341"/>
          <a:ext cx="590364" cy="2883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solidFill>
                <a:srgbClr val="FF0000"/>
              </a:solidFill>
            </a:rPr>
            <a:t>Bus 14</a:t>
          </a:r>
        </a:p>
      </xdr:txBody>
    </xdr:sp>
    <xdr:clientData/>
  </xdr:twoCellAnchor>
  <xdr:twoCellAnchor>
    <xdr:from>
      <xdr:col>21</xdr:col>
      <xdr:colOff>341592</xdr:colOff>
      <xdr:row>38</xdr:row>
      <xdr:rowOff>2987</xdr:rowOff>
    </xdr:from>
    <xdr:to>
      <xdr:col>22</xdr:col>
      <xdr:colOff>319367</xdr:colOff>
      <xdr:row>39</xdr:row>
      <xdr:rowOff>104587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5B972DD-29EA-4D52-A890-1A39F462909A}"/>
            </a:ext>
          </a:extLst>
        </xdr:cNvPr>
        <xdr:cNvSpPr txBox="1"/>
      </xdr:nvSpPr>
      <xdr:spPr>
        <a:xfrm>
          <a:off x="13205945" y="7204634"/>
          <a:ext cx="590363" cy="288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solidFill>
                <a:schemeClr val="accent5"/>
              </a:solidFill>
            </a:rPr>
            <a:t>Bus 4</a:t>
          </a:r>
        </a:p>
      </xdr:txBody>
    </xdr:sp>
    <xdr:clientData/>
  </xdr:twoCellAnchor>
  <xdr:twoCellAnchor>
    <xdr:from>
      <xdr:col>21</xdr:col>
      <xdr:colOff>580838</xdr:colOff>
      <xdr:row>45</xdr:row>
      <xdr:rowOff>95622</xdr:rowOff>
    </xdr:from>
    <xdr:to>
      <xdr:col>22</xdr:col>
      <xdr:colOff>558613</xdr:colOff>
      <xdr:row>47</xdr:row>
      <xdr:rowOff>10458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7470AE9-06E0-417F-A71A-2183DC716B60}"/>
            </a:ext>
          </a:extLst>
        </xdr:cNvPr>
        <xdr:cNvSpPr txBox="1"/>
      </xdr:nvSpPr>
      <xdr:spPr>
        <a:xfrm>
          <a:off x="13445191" y="8604622"/>
          <a:ext cx="590363" cy="288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solidFill>
                <a:schemeClr val="accent4">
                  <a:lumMod val="50000"/>
                </a:schemeClr>
              </a:solidFill>
            </a:rPr>
            <a:t>Bus 9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oeb.ca/consumer-information-and-protection/electricity-rates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eb.ca/consumer-information-and-protection/electricity-rates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eb.ca/consumer-information-and-protection/electricity-ra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72CBC-FE93-4843-986F-9DC622518EF4}">
  <dimension ref="A1:AK78"/>
  <sheetViews>
    <sheetView tabSelected="1" topLeftCell="A18" zoomScale="85" zoomScaleNormal="85" workbookViewId="0">
      <selection activeCell="E55" sqref="E55"/>
    </sheetView>
  </sheetViews>
  <sheetFormatPr defaultRowHeight="14.25" x14ac:dyDescent="0.45"/>
  <sheetData>
    <row r="1" spans="1:37" ht="21" x14ac:dyDescent="0.65">
      <c r="A1" s="5" t="s">
        <v>42</v>
      </c>
      <c r="O1" s="5" t="s">
        <v>43</v>
      </c>
      <c r="Z1" s="5" t="s">
        <v>44</v>
      </c>
    </row>
    <row r="2" spans="1:37" ht="13.05" customHeight="1" thickBot="1" x14ac:dyDescent="0.7">
      <c r="A2" s="5"/>
    </row>
    <row r="3" spans="1:37" x14ac:dyDescent="0.45">
      <c r="A3" s="7" t="s">
        <v>31</v>
      </c>
      <c r="B3" s="8" t="s">
        <v>32</v>
      </c>
      <c r="C3" s="9" t="s">
        <v>33</v>
      </c>
      <c r="O3" s="26" t="s">
        <v>31</v>
      </c>
      <c r="P3" s="27" t="s">
        <v>32</v>
      </c>
      <c r="Q3" s="28" t="s">
        <v>33</v>
      </c>
      <c r="Z3" s="32" t="s">
        <v>31</v>
      </c>
      <c r="AA3" s="33" t="s">
        <v>32</v>
      </c>
      <c r="AB3" s="34" t="s">
        <v>33</v>
      </c>
    </row>
    <row r="4" spans="1:37" ht="14.65" thickBot="1" x14ac:dyDescent="0.5">
      <c r="A4" s="23">
        <v>52.631999999999998</v>
      </c>
      <c r="B4" s="24">
        <v>10.526</v>
      </c>
      <c r="C4" s="25">
        <v>10.526</v>
      </c>
      <c r="O4" s="29">
        <v>105.26300000000001</v>
      </c>
      <c r="P4" s="30">
        <v>0</v>
      </c>
      <c r="Q4" s="31">
        <v>0</v>
      </c>
      <c r="Z4" s="35">
        <v>10.526</v>
      </c>
      <c r="AA4" s="36">
        <v>10.526</v>
      </c>
      <c r="AB4" s="37">
        <v>10.526</v>
      </c>
    </row>
    <row r="5" spans="1:37" ht="14.65" thickBot="1" x14ac:dyDescent="0.5">
      <c r="A5" s="4"/>
      <c r="B5" s="4"/>
      <c r="C5" s="4"/>
      <c r="O5" s="4"/>
      <c r="P5" s="4"/>
      <c r="Q5" s="4"/>
      <c r="Z5" s="4"/>
      <c r="AA5" s="4"/>
      <c r="AB5" s="4"/>
    </row>
    <row r="6" spans="1:37" ht="14.65" thickBot="1" x14ac:dyDescent="0.5">
      <c r="A6" s="64" t="s">
        <v>34</v>
      </c>
      <c r="B6" s="65"/>
      <c r="C6" s="65"/>
      <c r="D6" s="65"/>
      <c r="E6" s="65"/>
      <c r="F6" s="65"/>
      <c r="G6" s="65"/>
      <c r="H6" s="65"/>
      <c r="I6" s="65"/>
      <c r="J6" s="66"/>
      <c r="K6" s="7"/>
      <c r="L6" s="8"/>
      <c r="M6" s="9"/>
      <c r="O6" s="57" t="s">
        <v>34</v>
      </c>
      <c r="P6" s="58"/>
      <c r="Q6" s="58"/>
      <c r="R6" s="58"/>
      <c r="S6" s="58"/>
      <c r="T6" s="58"/>
      <c r="U6" s="58"/>
      <c r="V6" s="26"/>
      <c r="W6" s="27"/>
      <c r="X6" s="28"/>
      <c r="Z6" s="81" t="s">
        <v>34</v>
      </c>
      <c r="AA6" s="82"/>
      <c r="AB6" s="82"/>
      <c r="AC6" s="82"/>
      <c r="AD6" s="82"/>
      <c r="AE6" s="82"/>
      <c r="AF6" s="82"/>
      <c r="AG6" s="32"/>
      <c r="AH6" s="33"/>
      <c r="AI6" s="34"/>
    </row>
    <row r="7" spans="1:37" ht="14.65" thickBot="1" x14ac:dyDescent="0.5">
      <c r="A7" s="62" t="s">
        <v>0</v>
      </c>
      <c r="B7" s="59" t="s">
        <v>28</v>
      </c>
      <c r="C7" s="60"/>
      <c r="D7" s="61"/>
      <c r="E7" s="59" t="s">
        <v>29</v>
      </c>
      <c r="F7" s="60"/>
      <c r="G7" s="61"/>
      <c r="H7" s="59" t="s">
        <v>30</v>
      </c>
      <c r="I7" s="60"/>
      <c r="J7" s="61"/>
      <c r="K7" s="67" t="s">
        <v>38</v>
      </c>
      <c r="L7" s="68"/>
      <c r="M7" s="69"/>
      <c r="O7" s="73" t="s">
        <v>0</v>
      </c>
      <c r="P7" s="75" t="s">
        <v>29</v>
      </c>
      <c r="Q7" s="76"/>
      <c r="R7" s="77"/>
      <c r="S7" s="75" t="s">
        <v>30</v>
      </c>
      <c r="T7" s="76"/>
      <c r="U7" s="77"/>
      <c r="V7" s="70" t="s">
        <v>38</v>
      </c>
      <c r="W7" s="71"/>
      <c r="X7" s="72"/>
      <c r="Z7" s="83" t="s">
        <v>0</v>
      </c>
      <c r="AA7" s="85" t="s">
        <v>29</v>
      </c>
      <c r="AB7" s="86"/>
      <c r="AC7" s="87"/>
      <c r="AD7" s="85" t="s">
        <v>30</v>
      </c>
      <c r="AE7" s="86"/>
      <c r="AF7" s="87"/>
      <c r="AG7" s="78" t="s">
        <v>38</v>
      </c>
      <c r="AH7" s="79"/>
      <c r="AI7" s="80"/>
    </row>
    <row r="8" spans="1:37" ht="14.65" thickBot="1" x14ac:dyDescent="0.5">
      <c r="A8" s="63"/>
      <c r="B8" s="20" t="s">
        <v>35</v>
      </c>
      <c r="C8" s="21" t="s">
        <v>36</v>
      </c>
      <c r="D8" s="22" t="s">
        <v>37</v>
      </c>
      <c r="E8" s="20" t="s">
        <v>35</v>
      </c>
      <c r="F8" s="21" t="s">
        <v>36</v>
      </c>
      <c r="G8" s="22" t="s">
        <v>37</v>
      </c>
      <c r="H8" s="20" t="s">
        <v>35</v>
      </c>
      <c r="I8" s="21" t="s">
        <v>36</v>
      </c>
      <c r="J8" s="22" t="s">
        <v>37</v>
      </c>
      <c r="K8" s="38" t="s">
        <v>35</v>
      </c>
      <c r="L8" s="39" t="s">
        <v>36</v>
      </c>
      <c r="M8" s="40" t="s">
        <v>37</v>
      </c>
      <c r="O8" s="74"/>
      <c r="P8" s="20" t="s">
        <v>35</v>
      </c>
      <c r="Q8" s="21" t="s">
        <v>36</v>
      </c>
      <c r="R8" s="22" t="s">
        <v>37</v>
      </c>
      <c r="S8" s="15" t="s">
        <v>35</v>
      </c>
      <c r="T8" s="15" t="s">
        <v>36</v>
      </c>
      <c r="U8" s="16" t="s">
        <v>37</v>
      </c>
      <c r="V8" s="38" t="s">
        <v>35</v>
      </c>
      <c r="W8" s="39" t="s">
        <v>36</v>
      </c>
      <c r="X8" s="40" t="s">
        <v>37</v>
      </c>
      <c r="Z8" s="84"/>
      <c r="AA8" s="20" t="s">
        <v>35</v>
      </c>
      <c r="AB8" s="21" t="s">
        <v>36</v>
      </c>
      <c r="AC8" s="22" t="s">
        <v>37</v>
      </c>
      <c r="AD8" s="15" t="s">
        <v>35</v>
      </c>
      <c r="AE8" s="15" t="s">
        <v>36</v>
      </c>
      <c r="AF8" s="16" t="s">
        <v>37</v>
      </c>
      <c r="AG8" s="38" t="s">
        <v>35</v>
      </c>
      <c r="AH8" s="39" t="s">
        <v>36</v>
      </c>
      <c r="AI8" s="40" t="s">
        <v>37</v>
      </c>
      <c r="AJ8" s="49" t="s">
        <v>39</v>
      </c>
      <c r="AK8" s="49" t="s">
        <v>40</v>
      </c>
    </row>
    <row r="9" spans="1:37" x14ac:dyDescent="0.45">
      <c r="A9" s="17">
        <v>1</v>
      </c>
      <c r="B9" s="18">
        <f>-'Moderate sunny two 10 one 50'!AI2</f>
        <v>2.961549134557306E-2</v>
      </c>
      <c r="C9" s="6">
        <f>-'Moderate sunny two 10 one 50'!AJ2</f>
        <v>2.7708265529564402E-2</v>
      </c>
      <c r="D9" s="11">
        <f>-'Moderate sunny two 10 one 50'!AK2</f>
        <v>3.5293576025838679E-2</v>
      </c>
      <c r="E9" s="18">
        <f>-'Very sunny two 10 one 50'!AI2</f>
        <v>2.961549134557306E-2</v>
      </c>
      <c r="F9" s="6">
        <f>-'Very sunny two 10 one 50'!AJ2</f>
        <v>2.7708265529564402E-2</v>
      </c>
      <c r="G9" s="11">
        <f>-'Very sunny two 10 one 50'!AK2</f>
        <v>3.5293576025838679E-2</v>
      </c>
      <c r="H9" s="18">
        <f>-'cloudy two 10 one 50'!AI2</f>
        <v>2.961549134557306E-2</v>
      </c>
      <c r="I9" s="6">
        <f>-'cloudy two 10 one 50'!AJ2</f>
        <v>2.7708265529564402E-2</v>
      </c>
      <c r="J9" s="11">
        <f>-'cloudy two 10 one 50'!AK2</f>
        <v>3.5293576025838679E-2</v>
      </c>
      <c r="K9" s="41">
        <f>AVERAGE(B9,E9,H9)</f>
        <v>2.961549134557306E-2</v>
      </c>
      <c r="L9" s="42">
        <f t="shared" ref="L9:M9" si="0">AVERAGE(C9,F9,I9)</f>
        <v>2.7708265529564402E-2</v>
      </c>
      <c r="M9" s="43">
        <f t="shared" si="0"/>
        <v>3.5293576025838679E-2</v>
      </c>
      <c r="O9" s="17">
        <v>1</v>
      </c>
      <c r="P9" s="18">
        <f>-'very sunny one 100'!AI2</f>
        <v>4.7015567324102163E-2</v>
      </c>
      <c r="Q9" s="6">
        <f>-'very sunny one 100'!AJ2</f>
        <v>1.8307269312720059E-2</v>
      </c>
      <c r="R9" s="11">
        <f>-'very sunny one 100'!AK2</f>
        <v>1.1415965246851612E-2</v>
      </c>
      <c r="S9" s="18">
        <f>-'cloudy one 100'!AI2</f>
        <v>4.7015567324102163E-2</v>
      </c>
      <c r="T9" s="6">
        <f>-'cloudy one 100'!AJ2</f>
        <v>1.8307269312720059E-2</v>
      </c>
      <c r="U9" s="11">
        <f>-'cloudy one 100'!AK2</f>
        <v>1.1415965246851612E-2</v>
      </c>
      <c r="V9" s="41">
        <f>AVERAGE(P9,S9)</f>
        <v>4.7015567324102163E-2</v>
      </c>
      <c r="W9" s="42">
        <f t="shared" ref="W9:X9" si="1">AVERAGE(Q9,T9)</f>
        <v>1.8307269312720059E-2</v>
      </c>
      <c r="X9" s="43">
        <f t="shared" si="1"/>
        <v>1.1415965246851612E-2</v>
      </c>
      <c r="Z9" s="17">
        <v>1</v>
      </c>
      <c r="AA9" s="18">
        <f>-'very sunny all 10'!AI2</f>
        <v>1.056790381900192E-2</v>
      </c>
      <c r="AB9" s="6">
        <f>-'very sunny all 10'!AJ2</f>
        <v>1.9705800628591195E-2</v>
      </c>
      <c r="AC9" s="11">
        <f>-'very sunny all 10'!AK2</f>
        <v>3.021722377940244E-2</v>
      </c>
      <c r="AD9" s="18">
        <f>-'cloudy all 10'!AI2</f>
        <v>1.056790381900192E-2</v>
      </c>
      <c r="AE9" s="6">
        <f>-'cloudy all 10'!AJ2</f>
        <v>1.9705800628591195E-2</v>
      </c>
      <c r="AF9" s="11">
        <f>-'cloudy all 10'!AK2</f>
        <v>3.021722377940244E-2</v>
      </c>
      <c r="AG9" s="41">
        <f>AVERAGE(AA9,AD9)</f>
        <v>1.056790381900192E-2</v>
      </c>
      <c r="AH9" s="42">
        <f t="shared" ref="AH9:AH32" si="2">AVERAGE(AB9,AE9)</f>
        <v>1.9705800628591195E-2</v>
      </c>
      <c r="AI9" s="43">
        <f t="shared" ref="AI9:AI32" si="3">AVERAGE(AC9,AF9)</f>
        <v>3.021722377940244E-2</v>
      </c>
      <c r="AJ9" s="48">
        <f>AVERAGE(AG9:AI9)</f>
        <v>2.0163642742331851E-2</v>
      </c>
      <c r="AK9" s="48">
        <f>SUM(AG9:AI9)</f>
        <v>6.0490928226995554E-2</v>
      </c>
    </row>
    <row r="10" spans="1:37" x14ac:dyDescent="0.45">
      <c r="A10" s="10">
        <v>2</v>
      </c>
      <c r="B10" s="18">
        <f>-'Moderate sunny two 10 one 50'!AI3</f>
        <v>2.9585959008677967E-2</v>
      </c>
      <c r="C10" s="6">
        <f>-'Moderate sunny two 10 one 50'!AJ3</f>
        <v>2.7696407198761375E-2</v>
      </c>
      <c r="D10" s="11">
        <f>-'Moderate sunny two 10 one 50'!AK3</f>
        <v>3.5266433857780152E-2</v>
      </c>
      <c r="E10" s="18">
        <f>-'Very sunny two 10 one 50'!AI3</f>
        <v>2.9585959008677967E-2</v>
      </c>
      <c r="F10" s="6">
        <f>-'Very sunny two 10 one 50'!AJ3</f>
        <v>2.7696407198761375E-2</v>
      </c>
      <c r="G10" s="11">
        <f>-'Very sunny two 10 one 50'!AK3</f>
        <v>3.5266433857780152E-2</v>
      </c>
      <c r="H10" s="18">
        <f>-'cloudy two 10 one 50'!AI3</f>
        <v>2.9585959008677967E-2</v>
      </c>
      <c r="I10" s="6">
        <f>-'cloudy two 10 one 50'!AJ3</f>
        <v>2.7696407198761375E-2</v>
      </c>
      <c r="J10" s="11">
        <f>-'cloudy two 10 one 50'!AK3</f>
        <v>3.5266433857780152E-2</v>
      </c>
      <c r="K10" s="41">
        <f t="shared" ref="K10:K32" si="4">AVERAGE(B10,E10,H10)</f>
        <v>2.9585959008677967E-2</v>
      </c>
      <c r="L10" s="42">
        <f t="shared" ref="L10:L32" si="5">AVERAGE(C10,F10,I10)</f>
        <v>2.7696407198761375E-2</v>
      </c>
      <c r="M10" s="43">
        <f t="shared" ref="M10:M32" si="6">AVERAGE(D10,G10,J10)</f>
        <v>3.5266433857780152E-2</v>
      </c>
      <c r="O10" s="10">
        <v>2</v>
      </c>
      <c r="P10" s="18">
        <f>-'very sunny one 100'!AI3</f>
        <v>4.7690113475038411E-2</v>
      </c>
      <c r="Q10" s="6">
        <f>-'very sunny one 100'!AJ3</f>
        <v>1.8610608055191019E-2</v>
      </c>
      <c r="R10" s="11">
        <f>-'very sunny one 100'!AK3</f>
        <v>1.1622137773444802E-2</v>
      </c>
      <c r="S10" s="18">
        <f>-'cloudy one 100'!AI3</f>
        <v>4.7690113475038411E-2</v>
      </c>
      <c r="T10" s="6">
        <f>-'cloudy one 100'!AJ3</f>
        <v>1.8610608055191019E-2</v>
      </c>
      <c r="U10" s="11">
        <f>-'cloudy one 100'!AK3</f>
        <v>1.1622137773444802E-2</v>
      </c>
      <c r="V10" s="41">
        <f t="shared" ref="V10:V32" si="7">AVERAGE(P10,S10)</f>
        <v>4.7690113475038411E-2</v>
      </c>
      <c r="W10" s="42">
        <f t="shared" ref="W10:W32" si="8">AVERAGE(Q10,T10)</f>
        <v>1.8610608055191019E-2</v>
      </c>
      <c r="X10" s="43">
        <f t="shared" ref="X10:X32" si="9">AVERAGE(R10,U10)</f>
        <v>1.1622137773444802E-2</v>
      </c>
      <c r="Z10" s="10">
        <v>2</v>
      </c>
      <c r="AA10" s="18">
        <f>-'very sunny all 10'!AI3</f>
        <v>1.0553272031360162E-2</v>
      </c>
      <c r="AB10" s="6">
        <f>-'very sunny all 10'!AJ3</f>
        <v>1.9695316555371434E-2</v>
      </c>
      <c r="AC10" s="11">
        <f>-'very sunny all 10'!AK3</f>
        <v>3.0187160737157721E-2</v>
      </c>
      <c r="AD10" s="18">
        <f>-'cloudy all 10'!AI3</f>
        <v>1.0553272031360162E-2</v>
      </c>
      <c r="AE10" s="6">
        <f>-'cloudy all 10'!AJ3</f>
        <v>1.9695316555371434E-2</v>
      </c>
      <c r="AF10" s="11">
        <f>-'cloudy all 10'!AK3</f>
        <v>3.0187160737157721E-2</v>
      </c>
      <c r="AG10" s="41">
        <f t="shared" ref="AG10:AG32" si="10">AVERAGE(AA10,AD10)</f>
        <v>1.0553272031360162E-2</v>
      </c>
      <c r="AH10" s="42">
        <f t="shared" si="2"/>
        <v>1.9695316555371434E-2</v>
      </c>
      <c r="AI10" s="43">
        <f t="shared" si="3"/>
        <v>3.0187160737157721E-2</v>
      </c>
      <c r="AJ10" s="48">
        <f t="shared" ref="AJ10:AJ32" si="11">AVERAGE(AG10:AI10)</f>
        <v>2.0145249774629771E-2</v>
      </c>
      <c r="AK10" s="48">
        <f t="shared" ref="AK10:AK32" si="12">SUM(AG10:AI10)</f>
        <v>6.0435749323889315E-2</v>
      </c>
    </row>
    <row r="11" spans="1:37" x14ac:dyDescent="0.45">
      <c r="A11" s="10">
        <v>3</v>
      </c>
      <c r="B11" s="18">
        <f>-'Moderate sunny two 10 one 50'!AI4</f>
        <v>2.9471533656442613E-2</v>
      </c>
      <c r="C11" s="6">
        <f>-'Moderate sunny two 10 one 50'!AJ4</f>
        <v>2.7649533861369983E-2</v>
      </c>
      <c r="D11" s="11">
        <f>-'Moderate sunny two 10 one 50'!AK4</f>
        <v>3.5226505236192709E-2</v>
      </c>
      <c r="E11" s="18">
        <f>-'Very sunny two 10 one 50'!AI4</f>
        <v>2.9471533656442613E-2</v>
      </c>
      <c r="F11" s="6">
        <f>-'Very sunny two 10 one 50'!AJ4</f>
        <v>2.7649533861369983E-2</v>
      </c>
      <c r="G11" s="11">
        <f>-'Very sunny two 10 one 50'!AK4</f>
        <v>3.5226505236192709E-2</v>
      </c>
      <c r="H11" s="18">
        <f>-'cloudy two 10 one 50'!AI4</f>
        <v>2.9471533656442613E-2</v>
      </c>
      <c r="I11" s="6">
        <f>-'cloudy two 10 one 50'!AJ4</f>
        <v>2.7649533861369983E-2</v>
      </c>
      <c r="J11" s="11">
        <f>-'cloudy two 10 one 50'!AK4</f>
        <v>3.5226505236192709E-2</v>
      </c>
      <c r="K11" s="41">
        <f t="shared" si="4"/>
        <v>2.9471533656442613E-2</v>
      </c>
      <c r="L11" s="42">
        <f t="shared" si="5"/>
        <v>2.7649533861369983E-2</v>
      </c>
      <c r="M11" s="43">
        <f t="shared" si="6"/>
        <v>3.5226505236192709E-2</v>
      </c>
      <c r="O11" s="10">
        <v>3</v>
      </c>
      <c r="P11" s="18">
        <f>-'very sunny one 100'!AI4</f>
        <v>4.795940322770708E-2</v>
      </c>
      <c r="Q11" s="6">
        <f>-'very sunny one 100'!AJ4</f>
        <v>1.8729081984219798E-2</v>
      </c>
      <c r="R11" s="11">
        <f>-'very sunny one 100'!AK4</f>
        <v>1.1698991474298088E-2</v>
      </c>
      <c r="S11" s="18">
        <f>-'cloudy one 100'!AI4</f>
        <v>4.795940322770708E-2</v>
      </c>
      <c r="T11" s="6">
        <f>-'cloudy one 100'!AJ4</f>
        <v>1.8729081984219798E-2</v>
      </c>
      <c r="U11" s="11">
        <f>-'cloudy one 100'!AK4</f>
        <v>1.1698991474298088E-2</v>
      </c>
      <c r="V11" s="41">
        <f t="shared" si="7"/>
        <v>4.795940322770708E-2</v>
      </c>
      <c r="W11" s="42">
        <f t="shared" si="8"/>
        <v>1.8729081984219798E-2</v>
      </c>
      <c r="X11" s="43">
        <f t="shared" si="9"/>
        <v>1.1698991474298088E-2</v>
      </c>
      <c r="Z11" s="10">
        <v>3</v>
      </c>
      <c r="AA11" s="18">
        <f>-'very sunny all 10'!AI4</f>
        <v>1.0446672022941628E-2</v>
      </c>
      <c r="AB11" s="6">
        <f>-'very sunny all 10'!AJ4</f>
        <v>1.9649819475047448E-2</v>
      </c>
      <c r="AC11" s="11">
        <f>-'very sunny all 10'!AK4</f>
        <v>3.014758390036747E-2</v>
      </c>
      <c r="AD11" s="18">
        <f>-'cloudy all 10'!AI4</f>
        <v>1.0446672022941628E-2</v>
      </c>
      <c r="AE11" s="6">
        <f>-'cloudy all 10'!AJ4</f>
        <v>1.9649819475047448E-2</v>
      </c>
      <c r="AF11" s="11">
        <f>-'cloudy all 10'!AK4</f>
        <v>3.014758390036747E-2</v>
      </c>
      <c r="AG11" s="41">
        <f t="shared" si="10"/>
        <v>1.0446672022941628E-2</v>
      </c>
      <c r="AH11" s="42">
        <f t="shared" si="2"/>
        <v>1.9649819475047448E-2</v>
      </c>
      <c r="AI11" s="43">
        <f t="shared" si="3"/>
        <v>3.014758390036747E-2</v>
      </c>
      <c r="AJ11" s="48">
        <f t="shared" si="11"/>
        <v>2.0081358466118849E-2</v>
      </c>
      <c r="AK11" s="48">
        <f t="shared" si="12"/>
        <v>6.024407539835655E-2</v>
      </c>
    </row>
    <row r="12" spans="1:37" x14ac:dyDescent="0.45">
      <c r="A12" s="10">
        <v>4</v>
      </c>
      <c r="B12" s="18">
        <f>-'Moderate sunny two 10 one 50'!AI5</f>
        <v>2.9462297456618547E-2</v>
      </c>
      <c r="C12" s="6">
        <f>-'Moderate sunny two 10 one 50'!AJ5</f>
        <v>2.7645678062637319E-2</v>
      </c>
      <c r="D12" s="11">
        <f>-'Moderate sunny two 10 one 50'!AK5</f>
        <v>3.5223334845072118E-2</v>
      </c>
      <c r="E12" s="18">
        <f>-'Very sunny two 10 one 50'!AI5</f>
        <v>2.9462297456618547E-2</v>
      </c>
      <c r="F12" s="6">
        <f>-'Very sunny two 10 one 50'!AJ5</f>
        <v>2.7645678062637319E-2</v>
      </c>
      <c r="G12" s="11">
        <f>-'Very sunny two 10 one 50'!AK5</f>
        <v>3.5223334845072118E-2</v>
      </c>
      <c r="H12" s="18">
        <f>-'cloudy two 10 one 50'!AI5</f>
        <v>2.9462297456618547E-2</v>
      </c>
      <c r="I12" s="6">
        <f>-'cloudy two 10 one 50'!AJ5</f>
        <v>2.7645678062637319E-2</v>
      </c>
      <c r="J12" s="11">
        <f>-'cloudy two 10 one 50'!AK5</f>
        <v>3.5223334845072118E-2</v>
      </c>
      <c r="K12" s="41">
        <f t="shared" si="4"/>
        <v>2.9462297456618547E-2</v>
      </c>
      <c r="L12" s="42">
        <f t="shared" si="5"/>
        <v>2.7645678062637319E-2</v>
      </c>
      <c r="M12" s="43">
        <f t="shared" si="6"/>
        <v>3.5223334845072118E-2</v>
      </c>
      <c r="O12" s="10">
        <v>4</v>
      </c>
      <c r="P12" s="18">
        <f>-'very sunny one 100'!AI5</f>
        <v>4.7981289423327397E-2</v>
      </c>
      <c r="Q12" s="6">
        <f>-'very sunny one 100'!AJ5</f>
        <v>1.8738757540780398E-2</v>
      </c>
      <c r="R12" s="11">
        <f>-'very sunny one 100'!AK5</f>
        <v>1.1705351415766492E-2</v>
      </c>
      <c r="S12" s="18">
        <f>-'cloudy one 100'!AI5</f>
        <v>4.7981289423327397E-2</v>
      </c>
      <c r="T12" s="6">
        <f>-'cloudy one 100'!AJ5</f>
        <v>1.8738757540780398E-2</v>
      </c>
      <c r="U12" s="11">
        <f>-'cloudy one 100'!AK5</f>
        <v>1.1705351415766492E-2</v>
      </c>
      <c r="V12" s="41">
        <f t="shared" si="7"/>
        <v>4.7981289423327397E-2</v>
      </c>
      <c r="W12" s="42">
        <f t="shared" si="8"/>
        <v>1.8738757540780398E-2</v>
      </c>
      <c r="X12" s="43">
        <f t="shared" si="9"/>
        <v>1.1705351415766492E-2</v>
      </c>
      <c r="Z12" s="10">
        <v>4</v>
      </c>
      <c r="AA12" s="18">
        <f>-'very sunny all 10'!AI5</f>
        <v>1.043769877857339E-2</v>
      </c>
      <c r="AB12" s="6">
        <f>-'very sunny all 10'!AJ5</f>
        <v>1.9646107353937511E-2</v>
      </c>
      <c r="AC12" s="11">
        <f>-'very sunny all 10'!AK5</f>
        <v>3.0144204157055602E-2</v>
      </c>
      <c r="AD12" s="18">
        <f>-'cloudy all 10'!AI5</f>
        <v>1.043769877857339E-2</v>
      </c>
      <c r="AE12" s="6">
        <f>-'cloudy all 10'!AJ5</f>
        <v>1.9646107353937511E-2</v>
      </c>
      <c r="AF12" s="11">
        <f>-'cloudy all 10'!AK5</f>
        <v>3.0144204157055602E-2</v>
      </c>
      <c r="AG12" s="41">
        <f t="shared" si="10"/>
        <v>1.043769877857339E-2</v>
      </c>
      <c r="AH12" s="42">
        <f t="shared" si="2"/>
        <v>1.9646107353937511E-2</v>
      </c>
      <c r="AI12" s="43">
        <f t="shared" si="3"/>
        <v>3.0144204157055602E-2</v>
      </c>
      <c r="AJ12" s="48">
        <f t="shared" si="11"/>
        <v>2.0076003429855504E-2</v>
      </c>
      <c r="AK12" s="48">
        <f t="shared" si="12"/>
        <v>6.0228010289566508E-2</v>
      </c>
    </row>
    <row r="13" spans="1:37" x14ac:dyDescent="0.45">
      <c r="A13" s="10">
        <v>5</v>
      </c>
      <c r="B13" s="18">
        <f>-'Moderate sunny two 10 one 50'!AI6</f>
        <v>2.9604917438409348E-2</v>
      </c>
      <c r="C13" s="6">
        <f>-'Moderate sunny two 10 one 50'!AJ6</f>
        <v>2.7704230485109747E-2</v>
      </c>
      <c r="D13" s="11">
        <f>-'Moderate sunny two 10 one 50'!AK6</f>
        <v>3.5275607770207919E-2</v>
      </c>
      <c r="E13" s="18">
        <f>-'Very sunny two 10 one 50'!AI6</f>
        <v>2.9604917438409348E-2</v>
      </c>
      <c r="F13" s="6">
        <f>-'Very sunny two 10 one 50'!AJ6</f>
        <v>2.7704230485109747E-2</v>
      </c>
      <c r="G13" s="11">
        <f>-'Very sunny two 10 one 50'!AK6</f>
        <v>3.5275607770207919E-2</v>
      </c>
      <c r="H13" s="18">
        <f>-'cloudy two 10 one 50'!AI6</f>
        <v>2.9604917438409348E-2</v>
      </c>
      <c r="I13" s="6">
        <f>-'cloudy two 10 one 50'!AJ6</f>
        <v>2.7704230485109747E-2</v>
      </c>
      <c r="J13" s="11">
        <f>-'cloudy two 10 one 50'!AK6</f>
        <v>3.5275607770207919E-2</v>
      </c>
      <c r="K13" s="41">
        <f t="shared" si="4"/>
        <v>2.9604917438409348E-2</v>
      </c>
      <c r="L13" s="42">
        <f t="shared" si="5"/>
        <v>2.7704230485109744E-2</v>
      </c>
      <c r="M13" s="43">
        <f t="shared" si="6"/>
        <v>3.5275607770207919E-2</v>
      </c>
      <c r="O13" s="10">
        <v>5</v>
      </c>
      <c r="P13" s="18">
        <f>-'very sunny one 100'!AI6</f>
        <v>4.7547464313918771E-2</v>
      </c>
      <c r="Q13" s="6">
        <f>-'very sunny one 100'!AJ6</f>
        <v>1.8548536496979417E-2</v>
      </c>
      <c r="R13" s="11">
        <f>-'very sunny one 100'!AK6</f>
        <v>1.1581745740855222E-2</v>
      </c>
      <c r="S13" s="18">
        <f>-'cloudy one 100'!AI6</f>
        <v>4.7547464313918771E-2</v>
      </c>
      <c r="T13" s="6">
        <f>-'cloudy one 100'!AJ6</f>
        <v>1.8548536496979417E-2</v>
      </c>
      <c r="U13" s="11">
        <f>-'cloudy one 100'!AK6</f>
        <v>1.1581745740855222E-2</v>
      </c>
      <c r="V13" s="41">
        <f t="shared" si="7"/>
        <v>4.7547464313918771E-2</v>
      </c>
      <c r="W13" s="42">
        <f t="shared" si="8"/>
        <v>1.8548536496979417E-2</v>
      </c>
      <c r="X13" s="43">
        <f t="shared" si="9"/>
        <v>1.1581745740855222E-2</v>
      </c>
      <c r="Z13" s="10">
        <v>5</v>
      </c>
      <c r="AA13" s="18">
        <f>-'very sunny all 10'!AI6</f>
        <v>1.056854188395063E-2</v>
      </c>
      <c r="AB13" s="6">
        <f>-'very sunny all 10'!AJ6</f>
        <v>1.9702134960764377E-2</v>
      </c>
      <c r="AC13" s="11">
        <f>-'very sunny all 10'!AK6</f>
        <v>3.0196084770263885E-2</v>
      </c>
      <c r="AD13" s="18">
        <f>-'cloudy all 10'!AI6</f>
        <v>1.056854188395063E-2</v>
      </c>
      <c r="AE13" s="6">
        <f>-'cloudy all 10'!AJ6</f>
        <v>1.9702134960764377E-2</v>
      </c>
      <c r="AF13" s="11">
        <f>-'cloudy all 10'!AK6</f>
        <v>3.0196084770263885E-2</v>
      </c>
      <c r="AG13" s="41">
        <f t="shared" si="10"/>
        <v>1.056854188395063E-2</v>
      </c>
      <c r="AH13" s="42">
        <f t="shared" si="2"/>
        <v>1.9702134960764377E-2</v>
      </c>
      <c r="AI13" s="43">
        <f t="shared" si="3"/>
        <v>3.0196084770263885E-2</v>
      </c>
      <c r="AJ13" s="48">
        <f t="shared" si="11"/>
        <v>2.0155587204992966E-2</v>
      </c>
      <c r="AK13" s="48">
        <f t="shared" si="12"/>
        <v>6.0466761614978895E-2</v>
      </c>
    </row>
    <row r="14" spans="1:37" x14ac:dyDescent="0.45">
      <c r="A14" s="10">
        <v>6</v>
      </c>
      <c r="B14" s="18">
        <f>-'Moderate sunny two 10 one 50'!AI7</f>
        <v>2.9632919230078776E-2</v>
      </c>
      <c r="C14" s="6">
        <f>-'Moderate sunny two 10 one 50'!AJ7</f>
        <v>2.7713944102861026E-2</v>
      </c>
      <c r="D14" s="11">
        <f>-'Moderate sunny two 10 one 50'!AK7</f>
        <v>3.5322961896834738E-2</v>
      </c>
      <c r="E14" s="18">
        <f>-'Very sunny two 10 one 50'!AI7</f>
        <v>2.9632919230078776E-2</v>
      </c>
      <c r="F14" s="6">
        <f>-'Very sunny two 10 one 50'!AJ7</f>
        <v>2.7713944102861026E-2</v>
      </c>
      <c r="G14" s="11">
        <f>-'Very sunny two 10 one 50'!AK7</f>
        <v>3.5322961896834738E-2</v>
      </c>
      <c r="H14" s="18">
        <f>-'cloudy two 10 one 50'!AI7</f>
        <v>2.9632919230078776E-2</v>
      </c>
      <c r="I14" s="6">
        <f>-'cloudy two 10 one 50'!AJ7</f>
        <v>2.7713944102861026E-2</v>
      </c>
      <c r="J14" s="11">
        <f>-'cloudy two 10 one 50'!AK7</f>
        <v>3.5322961896834738E-2</v>
      </c>
      <c r="K14" s="41">
        <f t="shared" si="4"/>
        <v>2.963291923007878E-2</v>
      </c>
      <c r="L14" s="42">
        <f t="shared" si="5"/>
        <v>2.7713944102861026E-2</v>
      </c>
      <c r="M14" s="43">
        <f t="shared" si="6"/>
        <v>3.5322961896834738E-2</v>
      </c>
      <c r="O14" s="10">
        <v>6</v>
      </c>
      <c r="P14" s="18">
        <f>-'very sunny one 100'!AI7</f>
        <v>4.6063474158287598E-2</v>
      </c>
      <c r="Q14" s="6">
        <f>-'very sunny one 100'!AJ7</f>
        <v>1.7913549917322257E-2</v>
      </c>
      <c r="R14" s="11">
        <f>-'very sunny one 100'!AK7</f>
        <v>1.1186365992299017E-2</v>
      </c>
      <c r="S14" s="18">
        <f>-'cloudy one 100'!AI7</f>
        <v>4.6063474158287598E-2</v>
      </c>
      <c r="T14" s="6">
        <f>-'cloudy one 100'!AJ7</f>
        <v>1.7913549917322257E-2</v>
      </c>
      <c r="U14" s="11">
        <f>-'cloudy one 100'!AK7</f>
        <v>1.1186365992299017E-2</v>
      </c>
      <c r="V14" s="41">
        <f t="shared" si="7"/>
        <v>4.6063474158287598E-2</v>
      </c>
      <c r="W14" s="42">
        <f t="shared" si="8"/>
        <v>1.7913549917322257E-2</v>
      </c>
      <c r="X14" s="43">
        <f t="shared" si="9"/>
        <v>1.1186365992299017E-2</v>
      </c>
      <c r="Z14" s="10">
        <v>6</v>
      </c>
      <c r="AA14" s="18">
        <f>-'very sunny all 10'!AI7</f>
        <v>1.0561271865535796E-2</v>
      </c>
      <c r="AB14" s="6">
        <f>-'very sunny all 10'!AJ7</f>
        <v>1.970798144750377E-2</v>
      </c>
      <c r="AC14" s="11">
        <f>-'very sunny all 10'!AK7</f>
        <v>3.0248326681573061E-2</v>
      </c>
      <c r="AD14" s="18">
        <f>-'cloudy all 10'!AI7</f>
        <v>1.0561271865535796E-2</v>
      </c>
      <c r="AE14" s="6">
        <f>-'cloudy all 10'!AJ7</f>
        <v>1.970798144750377E-2</v>
      </c>
      <c r="AF14" s="11">
        <f>-'cloudy all 10'!AK7</f>
        <v>3.0248326681573061E-2</v>
      </c>
      <c r="AG14" s="41">
        <f t="shared" si="10"/>
        <v>1.0561271865535796E-2</v>
      </c>
      <c r="AH14" s="42">
        <f t="shared" si="2"/>
        <v>1.970798144750377E-2</v>
      </c>
      <c r="AI14" s="43">
        <f t="shared" si="3"/>
        <v>3.0248326681573061E-2</v>
      </c>
      <c r="AJ14" s="48">
        <f t="shared" si="11"/>
        <v>2.0172526664870877E-2</v>
      </c>
      <c r="AK14" s="48">
        <f t="shared" si="12"/>
        <v>6.051757999461263E-2</v>
      </c>
    </row>
    <row r="15" spans="1:37" x14ac:dyDescent="0.45">
      <c r="A15" s="10">
        <v>7</v>
      </c>
      <c r="B15" s="18">
        <f>-'Moderate sunny two 10 one 50'!AI8</f>
        <v>3.0708325951226526E-2</v>
      </c>
      <c r="C15" s="6">
        <f>-'Moderate sunny two 10 one 50'!AJ8</f>
        <v>2.8166838287863843E-2</v>
      </c>
      <c r="D15" s="11">
        <f>-'Moderate sunny two 10 one 50'!AK8</f>
        <v>3.5673170921729454E-2</v>
      </c>
      <c r="E15" s="18">
        <f>-'Very sunny two 10 one 50'!AI8</f>
        <v>3.0638567943973582E-2</v>
      </c>
      <c r="F15" s="6">
        <f>-'Very sunny two 10 one 50'!AJ8</f>
        <v>2.8103201778404915E-2</v>
      </c>
      <c r="G15" s="11">
        <f>-'Very sunny two 10 one 50'!AK8</f>
        <v>3.5596002841865322E-2</v>
      </c>
      <c r="H15" s="18">
        <f>-'cloudy two 10 one 50'!AI8</f>
        <v>3.0708325951226526E-2</v>
      </c>
      <c r="I15" s="6">
        <f>-'cloudy two 10 one 50'!AJ8</f>
        <v>2.8166838287863843E-2</v>
      </c>
      <c r="J15" s="11">
        <f>-'cloudy two 10 one 50'!AK8</f>
        <v>3.5673170921729454E-2</v>
      </c>
      <c r="K15" s="41">
        <f t="shared" si="4"/>
        <v>3.0685073282142209E-2</v>
      </c>
      <c r="L15" s="42">
        <f t="shared" si="5"/>
        <v>2.8145626118044203E-2</v>
      </c>
      <c r="M15" s="43">
        <f t="shared" si="6"/>
        <v>3.564744822844141E-2</v>
      </c>
      <c r="O15" s="10">
        <v>7</v>
      </c>
      <c r="P15" s="18">
        <f>-'very sunny one 100'!AI8</f>
        <v>4.3737252857510504E-2</v>
      </c>
      <c r="Q15" s="6">
        <f>-'very sunny one 100'!AJ8</f>
        <v>1.6911496081596877E-2</v>
      </c>
      <c r="R15" s="11">
        <f>-'very sunny one 100'!AK8</f>
        <v>1.0548357117547319E-2</v>
      </c>
      <c r="S15" s="18">
        <f>-'cloudy one 100'!AI8</f>
        <v>4.3737252857510504E-2</v>
      </c>
      <c r="T15" s="6">
        <f>-'cloudy one 100'!AJ8</f>
        <v>1.6911496081596877E-2</v>
      </c>
      <c r="U15" s="11">
        <f>-'cloudy one 100'!AK8</f>
        <v>1.0548357117547319E-2</v>
      </c>
      <c r="V15" s="41">
        <f t="shared" si="7"/>
        <v>4.3737252857510504E-2</v>
      </c>
      <c r="W15" s="42">
        <f t="shared" si="8"/>
        <v>1.6911496081596877E-2</v>
      </c>
      <c r="X15" s="43">
        <f t="shared" si="9"/>
        <v>1.0548357117547319E-2</v>
      </c>
      <c r="Z15" s="10">
        <v>7</v>
      </c>
      <c r="AA15" s="18">
        <f>-'very sunny all 10'!AI8</f>
        <v>1.0531146163840904E-2</v>
      </c>
      <c r="AB15" s="6">
        <f>-'very sunny all 10'!AJ8</f>
        <v>1.9672825891260945E-2</v>
      </c>
      <c r="AC15" s="11">
        <f>-'very sunny all 10'!AK8</f>
        <v>3.0259755918848906E-2</v>
      </c>
      <c r="AD15" s="18">
        <f>-'cloudy all 10'!AI8</f>
        <v>1.0546226475753737E-2</v>
      </c>
      <c r="AE15" s="6">
        <f>-'cloudy all 10'!AJ8</f>
        <v>1.9713001590989522E-2</v>
      </c>
      <c r="AF15" s="11">
        <f>-'cloudy all 10'!AK8</f>
        <v>3.0321935583201124E-2</v>
      </c>
      <c r="AG15" s="41">
        <f t="shared" si="10"/>
        <v>1.0538686319797321E-2</v>
      </c>
      <c r="AH15" s="42">
        <f t="shared" si="2"/>
        <v>1.9692913741125233E-2</v>
      </c>
      <c r="AI15" s="43">
        <f t="shared" si="3"/>
        <v>3.0290845751025017E-2</v>
      </c>
      <c r="AJ15" s="48">
        <f t="shared" si="11"/>
        <v>2.0174148603982523E-2</v>
      </c>
      <c r="AK15" s="48">
        <f t="shared" si="12"/>
        <v>6.0522445811947573E-2</v>
      </c>
    </row>
    <row r="16" spans="1:37" x14ac:dyDescent="0.45">
      <c r="A16" s="10">
        <v>8</v>
      </c>
      <c r="B16" s="18">
        <f>-'Moderate sunny two 10 one 50'!AI9</f>
        <v>3.2217711262038817E-2</v>
      </c>
      <c r="C16" s="6">
        <f>-'Moderate sunny two 10 one 50'!AJ9</f>
        <v>2.8787394107157378E-2</v>
      </c>
      <c r="D16" s="11">
        <f>-'Moderate sunny two 10 one 50'!AK9</f>
        <v>3.6090434761968715E-2</v>
      </c>
      <c r="E16" s="18">
        <f>-'Very sunny two 10 one 50'!AI9</f>
        <v>3.1276062394258827E-2</v>
      </c>
      <c r="F16" s="6">
        <f>-'Very sunny two 10 one 50'!AJ9</f>
        <v>2.7929145881357021E-2</v>
      </c>
      <c r="G16" s="11">
        <f>-'Very sunny two 10 one 50'!AK9</f>
        <v>3.5047871973631066E-2</v>
      </c>
      <c r="H16" s="18">
        <f>-'cloudy two 10 one 50'!AI9</f>
        <v>3.2252508839246005E-2</v>
      </c>
      <c r="I16" s="6">
        <f>-'cloudy two 10 one 50'!AJ9</f>
        <v>2.8819297388400344E-2</v>
      </c>
      <c r="J16" s="11">
        <f>-'cloudy two 10 one 50'!AK9</f>
        <v>3.6129082216911704E-2</v>
      </c>
      <c r="K16" s="41">
        <f t="shared" si="4"/>
        <v>3.1915427498514552E-2</v>
      </c>
      <c r="L16" s="42">
        <f t="shared" si="5"/>
        <v>2.8511945792304913E-2</v>
      </c>
      <c r="M16" s="43">
        <f t="shared" si="6"/>
        <v>3.5755796317503828E-2</v>
      </c>
      <c r="O16" s="10">
        <v>8</v>
      </c>
      <c r="P16" s="18">
        <f>-'very sunny one 100'!AI9</f>
        <v>4.210630175313753E-2</v>
      </c>
      <c r="Q16" s="6">
        <f>-'very sunny one 100'!AJ9</f>
        <v>1.6212148398363994E-2</v>
      </c>
      <c r="R16" s="11">
        <f>-'very sunny one 100'!AK9</f>
        <v>1.0103871923889363E-2</v>
      </c>
      <c r="S16" s="18">
        <f>-'cloudy one 100'!AI9</f>
        <v>4.210630175313753E-2</v>
      </c>
      <c r="T16" s="6">
        <f>-'cloudy one 100'!AJ9</f>
        <v>1.6212148398363994E-2</v>
      </c>
      <c r="U16" s="11">
        <f>-'cloudy one 100'!AK9</f>
        <v>1.0103871923889363E-2</v>
      </c>
      <c r="V16" s="41">
        <f t="shared" si="7"/>
        <v>4.210630175313753E-2</v>
      </c>
      <c r="W16" s="42">
        <f t="shared" si="8"/>
        <v>1.6212148398363994E-2</v>
      </c>
      <c r="X16" s="43">
        <f t="shared" si="9"/>
        <v>1.0103871923889363E-2</v>
      </c>
      <c r="Z16" s="10">
        <v>8</v>
      </c>
      <c r="AA16" s="18">
        <f>-'very sunny all 10'!AI9</f>
        <v>1.0322018541382146E-2</v>
      </c>
      <c r="AB16" s="6">
        <f>-'very sunny all 10'!AJ9</f>
        <v>1.9147393016592761E-2</v>
      </c>
      <c r="AC16" s="11">
        <f>-'very sunny all 10'!AK9</f>
        <v>2.9490410344123159E-2</v>
      </c>
      <c r="AD16" s="18">
        <f>-'cloudy all 10'!AI9</f>
        <v>1.0534768285576234E-2</v>
      </c>
      <c r="AE16" s="6">
        <f>-'cloudy all 10'!AJ9</f>
        <v>1.9710660791896612E-2</v>
      </c>
      <c r="AF16" s="11">
        <f>-'cloudy all 10'!AK9</f>
        <v>3.0361638437303971E-2</v>
      </c>
      <c r="AG16" s="41">
        <f t="shared" si="10"/>
        <v>1.0428393413479189E-2</v>
      </c>
      <c r="AH16" s="42">
        <f t="shared" si="2"/>
        <v>1.9429026904244688E-2</v>
      </c>
      <c r="AI16" s="43">
        <f t="shared" si="3"/>
        <v>2.9926024390713565E-2</v>
      </c>
      <c r="AJ16" s="48">
        <f t="shared" si="11"/>
        <v>1.992781490281248E-2</v>
      </c>
      <c r="AK16" s="48">
        <f t="shared" si="12"/>
        <v>5.9783444708437439E-2</v>
      </c>
    </row>
    <row r="17" spans="1:37" x14ac:dyDescent="0.45">
      <c r="A17" s="10">
        <v>9</v>
      </c>
      <c r="B17" s="18">
        <f>-'Moderate sunny two 10 one 50'!AI10</f>
        <v>3.230766195098448E-2</v>
      </c>
      <c r="C17" s="6">
        <f>-'Moderate sunny two 10 one 50'!AJ10</f>
        <v>2.8654294982228483E-2</v>
      </c>
      <c r="D17" s="11">
        <f>-'Moderate sunny two 10 one 50'!AK10</f>
        <v>3.5833101822726136E-2</v>
      </c>
      <c r="E17" s="18">
        <f>-'Very sunny two 10 one 50'!AI10</f>
        <v>2.9002010302812489E-2</v>
      </c>
      <c r="F17" s="6">
        <f>-'Very sunny two 10 one 50'!AJ10</f>
        <v>2.56427717844597E-2</v>
      </c>
      <c r="G17" s="11">
        <f>-'Very sunny two 10 one 50'!AK10</f>
        <v>3.2174688088107327E-2</v>
      </c>
      <c r="H17" s="18">
        <f>-'cloudy two 10 one 50'!AI10</f>
        <v>3.2691607448628805E-2</v>
      </c>
      <c r="I17" s="6">
        <f>-'cloudy two 10 one 50'!AJ10</f>
        <v>2.9004300133713544E-2</v>
      </c>
      <c r="J17" s="11">
        <f>-'cloudy two 10 one 50'!AK10</f>
        <v>3.6258360960650438E-2</v>
      </c>
      <c r="K17" s="41">
        <f t="shared" si="4"/>
        <v>3.133375990080859E-2</v>
      </c>
      <c r="L17" s="42">
        <f t="shared" si="5"/>
        <v>2.7767122300133909E-2</v>
      </c>
      <c r="M17" s="43">
        <f t="shared" si="6"/>
        <v>3.4755383623827969E-2</v>
      </c>
      <c r="O17" s="10">
        <v>9</v>
      </c>
      <c r="P17" s="18">
        <f>-'very sunny one 100'!AI10</f>
        <v>4.1638311171788643E-2</v>
      </c>
      <c r="Q17" s="6">
        <f>-'very sunny one 100'!AJ10</f>
        <v>1.6011925809332566E-2</v>
      </c>
      <c r="R17" s="11">
        <f>-'very sunny one 100'!AK10</f>
        <v>9.9773462365776271E-3</v>
      </c>
      <c r="S17" s="18">
        <f>-'cloudy one 100'!AI10</f>
        <v>4.1638311171788643E-2</v>
      </c>
      <c r="T17" s="6">
        <f>-'cloudy one 100'!AJ10</f>
        <v>1.6011784962187799E-2</v>
      </c>
      <c r="U17" s="11">
        <f>-'cloudy one 100'!AK10</f>
        <v>9.9765793758356692E-3</v>
      </c>
      <c r="V17" s="41">
        <f t="shared" si="7"/>
        <v>4.1638311171788643E-2</v>
      </c>
      <c r="W17" s="42">
        <f t="shared" si="8"/>
        <v>1.6011855385760183E-2</v>
      </c>
      <c r="X17" s="43">
        <f t="shared" si="9"/>
        <v>9.976962806206649E-3</v>
      </c>
      <c r="Z17" s="10">
        <v>9</v>
      </c>
      <c r="AA17" s="18">
        <f>-'very sunny all 10'!AI10</f>
        <v>9.7285026377677813E-3</v>
      </c>
      <c r="AB17" s="6">
        <f>-'very sunny all 10'!AJ10</f>
        <v>1.7582723576705143E-2</v>
      </c>
      <c r="AC17" s="11">
        <f>-'very sunny all 10'!AK10</f>
        <v>2.7083011629445698E-2</v>
      </c>
      <c r="AD17" s="18">
        <f>-'cloudy all 10'!AI10</f>
        <v>1.053272807227363E-2</v>
      </c>
      <c r="AE17" s="6">
        <f>-'cloudy all 10'!AJ10</f>
        <v>1.9711768997162784E-2</v>
      </c>
      <c r="AF17" s="11">
        <f>-'cloudy all 10'!AK10</f>
        <v>3.0375632790823479E-2</v>
      </c>
      <c r="AG17" s="41">
        <f t="shared" si="10"/>
        <v>1.0130615355020706E-2</v>
      </c>
      <c r="AH17" s="42">
        <f t="shared" si="2"/>
        <v>1.8647246286933962E-2</v>
      </c>
      <c r="AI17" s="43">
        <f t="shared" si="3"/>
        <v>2.8729322210134588E-2</v>
      </c>
      <c r="AJ17" s="48">
        <f t="shared" si="11"/>
        <v>1.9169061284029752E-2</v>
      </c>
      <c r="AK17" s="48">
        <f t="shared" si="12"/>
        <v>5.7507183852089257E-2</v>
      </c>
    </row>
    <row r="18" spans="1:37" x14ac:dyDescent="0.45">
      <c r="A18" s="10">
        <v>10</v>
      </c>
      <c r="B18" s="18">
        <f>-'Moderate sunny two 10 one 50'!AI11</f>
        <v>3.1752080041251837E-2</v>
      </c>
      <c r="C18" s="6">
        <f>-'Moderate sunny two 10 one 50'!AJ11</f>
        <v>2.8061492715846424E-2</v>
      </c>
      <c r="D18" s="11">
        <f>-'Moderate sunny two 10 one 50'!AK11</f>
        <v>3.5073968403314726E-2</v>
      </c>
      <c r="E18" s="18">
        <f>-'Very sunny two 10 one 50'!AI11</f>
        <v>2.5477716919327698E-2</v>
      </c>
      <c r="F18" s="6">
        <f>-'Very sunny two 10 one 50'!AJ11</f>
        <v>2.2349919726537468E-2</v>
      </c>
      <c r="G18" s="11">
        <f>-'Very sunny two 10 one 50'!AK11</f>
        <v>2.8137090215547514E-2</v>
      </c>
      <c r="H18" s="18">
        <f>-'cloudy two 10 one 50'!AI11</f>
        <v>3.2833386767490175E-2</v>
      </c>
      <c r="I18" s="6">
        <f>-'cloudy two 10 one 50'!AJ11</f>
        <v>2.9047022057320997E-2</v>
      </c>
      <c r="J18" s="11">
        <f>-'cloudy two 10 one 50'!AK11</f>
        <v>3.6271894835998783E-2</v>
      </c>
      <c r="K18" s="41">
        <f t="shared" si="4"/>
        <v>3.0021061242689901E-2</v>
      </c>
      <c r="L18" s="42">
        <f t="shared" si="5"/>
        <v>2.6486144833234967E-2</v>
      </c>
      <c r="M18" s="43">
        <f t="shared" si="6"/>
        <v>3.3160984484953672E-2</v>
      </c>
      <c r="O18" s="10">
        <v>10</v>
      </c>
      <c r="P18" s="18">
        <f>-'very sunny one 100'!AI11</f>
        <v>4.1449341826077818E-2</v>
      </c>
      <c r="Q18" s="6">
        <f>-'very sunny one 100'!AJ11</f>
        <v>1.5915643900065619E-2</v>
      </c>
      <c r="R18" s="11">
        <f>-'very sunny one 100'!AK11</f>
        <v>9.8978888202190998E-3</v>
      </c>
      <c r="S18" s="18">
        <f>-'cloudy one 100'!AI11</f>
        <v>4.1449341826077818E-2</v>
      </c>
      <c r="T18" s="6">
        <f>-'cloudy one 100'!AJ11</f>
        <v>1.5930984786112289E-2</v>
      </c>
      <c r="U18" s="11">
        <f>-'cloudy one 100'!AK11</f>
        <v>9.9254185912037857E-3</v>
      </c>
      <c r="V18" s="41">
        <f t="shared" si="7"/>
        <v>4.1449341826077818E-2</v>
      </c>
      <c r="W18" s="42">
        <f t="shared" si="8"/>
        <v>1.5923314343088954E-2</v>
      </c>
      <c r="X18" s="43">
        <f t="shared" si="9"/>
        <v>9.9116537057114436E-3</v>
      </c>
      <c r="Z18" s="10">
        <v>10</v>
      </c>
      <c r="AA18" s="18">
        <f>-'very sunny all 10'!AI11</f>
        <v>8.9184892209995086E-3</v>
      </c>
      <c r="AB18" s="6">
        <f>-'very sunny all 10'!AJ11</f>
        <v>1.5443999216282473E-2</v>
      </c>
      <c r="AC18" s="11">
        <f>-'very sunny all 10'!AK11</f>
        <v>2.3782948351097288E-2</v>
      </c>
      <c r="AD18" s="18">
        <f>-'cloudy all 10'!AI11</f>
        <v>1.0524453648722674E-2</v>
      </c>
      <c r="AE18" s="6">
        <f>-'cloudy all 10'!AJ11</f>
        <v>1.969202365690775E-2</v>
      </c>
      <c r="AF18" s="11">
        <f>-'cloudy all 10'!AK11</f>
        <v>3.0350081604618193E-2</v>
      </c>
      <c r="AG18" s="41">
        <f t="shared" si="10"/>
        <v>9.7214714348610905E-3</v>
      </c>
      <c r="AH18" s="42">
        <f t="shared" si="2"/>
        <v>1.7568011436595112E-2</v>
      </c>
      <c r="AI18" s="43">
        <f t="shared" si="3"/>
        <v>2.7066514977857739E-2</v>
      </c>
      <c r="AJ18" s="48">
        <f t="shared" si="11"/>
        <v>1.8118665949771313E-2</v>
      </c>
      <c r="AK18" s="48">
        <f t="shared" si="12"/>
        <v>5.4355997849313942E-2</v>
      </c>
    </row>
    <row r="19" spans="1:37" x14ac:dyDescent="0.45">
      <c r="A19" s="10">
        <v>11</v>
      </c>
      <c r="B19" s="18">
        <f>-'Moderate sunny two 10 one 50'!AI12</f>
        <v>3.1097472700198706E-2</v>
      </c>
      <c r="C19" s="6">
        <f>-'Moderate sunny two 10 one 50'!AJ12</f>
        <v>2.741043718157983E-2</v>
      </c>
      <c r="D19" s="11">
        <f>-'Moderate sunny two 10 one 50'!AK12</f>
        <v>3.4258324450085566E-2</v>
      </c>
      <c r="E19" s="18">
        <f>-'Very sunny two 10 one 50'!AI12</f>
        <v>2.1873621222150454E-2</v>
      </c>
      <c r="F19" s="6">
        <f>-'Very sunny two 10 one 50'!AJ12</f>
        <v>1.9021159739899665E-2</v>
      </c>
      <c r="G19" s="11">
        <f>-'Very sunny two 10 one 50'!AK12</f>
        <v>2.407136435613922E-2</v>
      </c>
      <c r="H19" s="18">
        <f>-'cloudy two 10 one 50'!AI12</f>
        <v>3.2840764945952228E-2</v>
      </c>
      <c r="I19" s="6">
        <f>-'cloudy two 10 one 50'!AJ12</f>
        <v>2.8999082767492849E-2</v>
      </c>
      <c r="J19" s="11">
        <f>-'cloudy two 10 one 50'!AK12</f>
        <v>3.6188771944570604E-2</v>
      </c>
      <c r="K19" s="41">
        <f t="shared" si="4"/>
        <v>2.8603952956100465E-2</v>
      </c>
      <c r="L19" s="42">
        <f t="shared" si="5"/>
        <v>2.5143559896324118E-2</v>
      </c>
      <c r="M19" s="43">
        <f t="shared" si="6"/>
        <v>3.1506153583598463E-2</v>
      </c>
      <c r="O19" s="10">
        <v>11</v>
      </c>
      <c r="P19" s="18">
        <f>-'very sunny one 100'!AI12</f>
        <v>4.0571055316568676E-2</v>
      </c>
      <c r="Q19" s="6">
        <f>-'very sunny one 100'!AJ12</f>
        <v>1.5562024479733313E-2</v>
      </c>
      <c r="R19" s="11">
        <f>-'very sunny one 100'!AK12</f>
        <v>9.695570945812651E-3</v>
      </c>
      <c r="S19" s="18">
        <f>-'cloudy one 100'!AI12</f>
        <v>4.1329383134790607E-2</v>
      </c>
      <c r="T19" s="6">
        <f>-'cloudy one 100'!AJ12</f>
        <v>1.5879683781684459E-2</v>
      </c>
      <c r="U19" s="11">
        <f>-'cloudy one 100'!AK12</f>
        <v>9.892748616646926E-3</v>
      </c>
      <c r="V19" s="41">
        <f t="shared" si="7"/>
        <v>4.0950219225679638E-2</v>
      </c>
      <c r="W19" s="42">
        <f t="shared" si="8"/>
        <v>1.5720854130708888E-2</v>
      </c>
      <c r="X19" s="43">
        <f t="shared" si="9"/>
        <v>9.7941597812297894E-3</v>
      </c>
      <c r="Z19" s="10">
        <v>11</v>
      </c>
      <c r="AA19" s="18">
        <f>-'very sunny all 10'!AI12</f>
        <v>8.1045423836319519E-3</v>
      </c>
      <c r="AB19" s="6">
        <f>-'very sunny all 10'!AJ12</f>
        <v>1.3295123922734211E-2</v>
      </c>
      <c r="AC19" s="11">
        <f>-'very sunny all 10'!AK12</f>
        <v>2.0468465948044728E-2</v>
      </c>
      <c r="AD19" s="18">
        <f>-'cloudy all 10'!AI12</f>
        <v>1.0501202983676875E-2</v>
      </c>
      <c r="AE19" s="6">
        <f>-'cloudy all 10'!AJ12</f>
        <v>1.9632043012885767E-2</v>
      </c>
      <c r="AF19" s="11">
        <f>-'cloudy all 10'!AK12</f>
        <v>3.0260310463945651E-2</v>
      </c>
      <c r="AG19" s="41">
        <f t="shared" si="10"/>
        <v>9.3028726836544146E-3</v>
      </c>
      <c r="AH19" s="42">
        <f t="shared" si="2"/>
        <v>1.6463583467809989E-2</v>
      </c>
      <c r="AI19" s="43">
        <f t="shared" si="3"/>
        <v>2.5364388205995188E-2</v>
      </c>
      <c r="AJ19" s="48">
        <f t="shared" si="11"/>
        <v>1.7043614785819863E-2</v>
      </c>
      <c r="AK19" s="48">
        <f t="shared" si="12"/>
        <v>5.1130844357459591E-2</v>
      </c>
    </row>
    <row r="20" spans="1:37" x14ac:dyDescent="0.45">
      <c r="A20" s="10">
        <v>12</v>
      </c>
      <c r="B20" s="18">
        <f>-'Moderate sunny two 10 one 50'!AI13</f>
        <v>3.0791633833119617E-2</v>
      </c>
      <c r="C20" s="6">
        <f>-'Moderate sunny two 10 one 50'!AJ13</f>
        <v>2.7076911900934131E-2</v>
      </c>
      <c r="D20" s="11">
        <f>-'Moderate sunny two 10 one 50'!AK13</f>
        <v>3.38287566301319E-2</v>
      </c>
      <c r="E20" s="18">
        <f>-'Very sunny two 10 one 50'!AI13</f>
        <v>1.9938634367760708E-2</v>
      </c>
      <c r="F20" s="6">
        <f>-'Very sunny two 10 one 50'!AJ13</f>
        <v>1.720784423638266E-2</v>
      </c>
      <c r="G20" s="11">
        <f>-'Very sunny two 10 one 50'!AK13</f>
        <v>2.1843733466208652E-2</v>
      </c>
      <c r="H20" s="18">
        <f>-'cloudy two 10 one 50'!AI13</f>
        <v>3.2848091073640909E-2</v>
      </c>
      <c r="I20" s="6">
        <f>-'cloudy two 10 one 50'!AJ13</f>
        <v>2.8950624323791745E-2</v>
      </c>
      <c r="J20" s="11">
        <f>-'cloudy two 10 one 50'!AK13</f>
        <v>3.6105714029273879E-2</v>
      </c>
      <c r="K20" s="41">
        <f t="shared" si="4"/>
        <v>2.7859453091507076E-2</v>
      </c>
      <c r="L20" s="42">
        <f t="shared" si="5"/>
        <v>2.4411793487036176E-2</v>
      </c>
      <c r="M20" s="43">
        <f t="shared" si="6"/>
        <v>3.0592734708538145E-2</v>
      </c>
      <c r="O20" s="10">
        <v>12</v>
      </c>
      <c r="P20" s="18">
        <f>-'very sunny one 100'!AI13</f>
        <v>3.690225944908429E-2</v>
      </c>
      <c r="Q20" s="6">
        <f>-'very sunny one 100'!AJ13</f>
        <v>1.4022992360769492E-2</v>
      </c>
      <c r="R20" s="11">
        <f>-'very sunny one 100'!AK13</f>
        <v>8.7363499482923778E-3</v>
      </c>
      <c r="S20" s="18">
        <f>-'cloudy one 100'!AI13</f>
        <v>4.1209104787507167E-2</v>
      </c>
      <c r="T20" s="6">
        <f>-'cloudy one 100'!AJ13</f>
        <v>1.5828166209035818E-2</v>
      </c>
      <c r="U20" s="11">
        <f>-'cloudy one 100'!AK13</f>
        <v>9.8603634659347322E-3</v>
      </c>
      <c r="V20" s="41">
        <f t="shared" si="7"/>
        <v>3.9055682118295729E-2</v>
      </c>
      <c r="W20" s="42">
        <f t="shared" si="8"/>
        <v>1.4925579284902655E-2</v>
      </c>
      <c r="X20" s="43">
        <f t="shared" si="9"/>
        <v>9.2983567071135559E-3</v>
      </c>
      <c r="Z20" s="10">
        <v>12</v>
      </c>
      <c r="AA20" s="18">
        <f>-'very sunny all 10'!AI13</f>
        <v>7.6532262047144996E-3</v>
      </c>
      <c r="AB20" s="6">
        <f>-'very sunny all 10'!AJ13</f>
        <v>1.210558224771764E-2</v>
      </c>
      <c r="AC20" s="11">
        <f>-'very sunny all 10'!AK13</f>
        <v>1.8636113814528066E-2</v>
      </c>
      <c r="AD20" s="18">
        <f>-'cloudy all 10'!AI13</f>
        <v>1.0477848896257129E-2</v>
      </c>
      <c r="AE20" s="6">
        <f>-'cloudy all 10'!AJ13</f>
        <v>1.9572111939287505E-2</v>
      </c>
      <c r="AF20" s="11">
        <f>-'cloudy all 10'!AK13</f>
        <v>3.0170236593201932E-2</v>
      </c>
      <c r="AG20" s="41">
        <f t="shared" si="10"/>
        <v>9.0655375504858152E-3</v>
      </c>
      <c r="AH20" s="42">
        <f t="shared" si="2"/>
        <v>1.5838847093502573E-2</v>
      </c>
      <c r="AI20" s="43">
        <f t="shared" si="3"/>
        <v>2.4403175203865E-2</v>
      </c>
      <c r="AJ20" s="48">
        <f t="shared" si="11"/>
        <v>1.6435853282617794E-2</v>
      </c>
      <c r="AK20" s="48">
        <f t="shared" si="12"/>
        <v>4.9307559847853386E-2</v>
      </c>
    </row>
    <row r="21" spans="1:37" x14ac:dyDescent="0.45">
      <c r="A21" s="10">
        <v>13</v>
      </c>
      <c r="B21" s="18">
        <f>-'Moderate sunny two 10 one 50'!AI14</f>
        <v>3.135473279664059E-2</v>
      </c>
      <c r="C21" s="6">
        <f>-'Moderate sunny two 10 one 50'!AJ14</f>
        <v>2.7536454936578424E-2</v>
      </c>
      <c r="D21" s="11">
        <f>-'Moderate sunny two 10 one 50'!AK14</f>
        <v>3.4363370474122405E-2</v>
      </c>
      <c r="E21" s="18">
        <f>-'Very sunny two 10 one 50'!AI14</f>
        <v>2.0665588212430974E-2</v>
      </c>
      <c r="F21" s="6">
        <f>-'Very sunny two 10 one 50'!AJ14</f>
        <v>1.7813658870114723E-2</v>
      </c>
      <c r="G21" s="11">
        <f>-'Very sunny two 10 one 50'!AK14</f>
        <v>2.255403226930101E-2</v>
      </c>
      <c r="H21" s="18">
        <f>-'cloudy two 10 one 50'!AI14</f>
        <v>3.2956747570140797E-2</v>
      </c>
      <c r="I21" s="6">
        <f>-'cloudy two 10 one 50'!AJ14</f>
        <v>2.8996448781715884E-2</v>
      </c>
      <c r="J21" s="11">
        <f>-'cloudy two 10 one 50'!AK14</f>
        <v>3.6137548507529892E-2</v>
      </c>
      <c r="K21" s="41">
        <f t="shared" si="4"/>
        <v>2.8325689526404119E-2</v>
      </c>
      <c r="L21" s="42">
        <f t="shared" si="5"/>
        <v>2.4782187529469677E-2</v>
      </c>
      <c r="M21" s="43">
        <f t="shared" si="6"/>
        <v>3.1018317083651104E-2</v>
      </c>
      <c r="O21" s="10">
        <v>13</v>
      </c>
      <c r="P21" s="18">
        <f>-'very sunny one 100'!AI14</f>
        <v>3.8147179553384196E-2</v>
      </c>
      <c r="Q21" s="6">
        <f>-'very sunny one 100'!AJ14</f>
        <v>1.4543688807270401E-2</v>
      </c>
      <c r="R21" s="11">
        <f>-'very sunny one 100'!AK14</f>
        <v>9.060048854437527E-3</v>
      </c>
      <c r="S21" s="18">
        <f>-'cloudy one 100'!AI14</f>
        <v>4.1092667732564821E-2</v>
      </c>
      <c r="T21" s="6">
        <f>-'cloudy one 100'!AJ14</f>
        <v>1.5778614717613826E-2</v>
      </c>
      <c r="U21" s="11">
        <f>-'cloudy one 100'!AK14</f>
        <v>9.828699128582313E-3</v>
      </c>
      <c r="V21" s="41">
        <f t="shared" si="7"/>
        <v>3.9619923642974508E-2</v>
      </c>
      <c r="W21" s="42">
        <f t="shared" si="8"/>
        <v>1.5161151762442114E-2</v>
      </c>
      <c r="X21" s="43">
        <f t="shared" si="9"/>
        <v>9.44437399150992E-3</v>
      </c>
      <c r="Z21" s="10">
        <v>13</v>
      </c>
      <c r="AA21" s="18">
        <f>-'very sunny all 10'!AI14</f>
        <v>7.7880878520157834E-3</v>
      </c>
      <c r="AB21" s="6">
        <f>-'very sunny all 10'!AJ14</f>
        <v>1.2462313258639546E-2</v>
      </c>
      <c r="AC21" s="11">
        <f>-'very sunny all 10'!AK14</f>
        <v>1.9187968875806278E-2</v>
      </c>
      <c r="AD21" s="18">
        <f>-'cloudy all 10'!AI14</f>
        <v>1.0477346125937068E-2</v>
      </c>
      <c r="AE21" s="6">
        <f>-'cloudy all 10'!AJ14</f>
        <v>1.957217117175827E-2</v>
      </c>
      <c r="AF21" s="11">
        <f>-'cloudy all 10'!AK14</f>
        <v>3.0173660033841539E-2</v>
      </c>
      <c r="AG21" s="41">
        <f t="shared" si="10"/>
        <v>9.1327169889764259E-3</v>
      </c>
      <c r="AH21" s="42">
        <f t="shared" si="2"/>
        <v>1.6017242215198908E-2</v>
      </c>
      <c r="AI21" s="43">
        <f t="shared" si="3"/>
        <v>2.468081445482391E-2</v>
      </c>
      <c r="AJ21" s="48">
        <f t="shared" si="11"/>
        <v>1.6610257886333083E-2</v>
      </c>
      <c r="AK21" s="48">
        <f t="shared" si="12"/>
        <v>4.9830773658999246E-2</v>
      </c>
    </row>
    <row r="22" spans="1:37" x14ac:dyDescent="0.45">
      <c r="A22" s="10">
        <v>14</v>
      </c>
      <c r="B22" s="18">
        <f>-'Moderate sunny two 10 one 50'!AI15</f>
        <v>3.1619443353603602E-2</v>
      </c>
      <c r="C22" s="6">
        <f>-'Moderate sunny two 10 one 50'!AJ15</f>
        <v>2.7749685756330963E-2</v>
      </c>
      <c r="D22" s="11">
        <f>-'Moderate sunny two 10 one 50'!AK15</f>
        <v>3.4609507886775352E-2</v>
      </c>
      <c r="E22" s="18">
        <f>-'Very sunny two 10 one 50'!AI15</f>
        <v>2.1703252680441328E-2</v>
      </c>
      <c r="F22" s="6">
        <f>-'Very sunny two 10 one 50'!AJ15</f>
        <v>1.873165065548401E-2</v>
      </c>
      <c r="G22" s="11">
        <f>-'Very sunny two 10 one 50'!AK15</f>
        <v>2.3657375776312519E-2</v>
      </c>
      <c r="H22" s="18">
        <f>-'cloudy two 10 one 50'!AI15</f>
        <v>3.3084450726928359E-2</v>
      </c>
      <c r="I22" s="6">
        <f>-'cloudy two 10 one 50'!AJ15</f>
        <v>2.9084693394146554E-2</v>
      </c>
      <c r="J22" s="11">
        <f>-'cloudy two 10 one 50'!AK15</f>
        <v>3.6232114519709334E-2</v>
      </c>
      <c r="K22" s="41">
        <f t="shared" si="4"/>
        <v>2.8802382253657763E-2</v>
      </c>
      <c r="L22" s="42">
        <f t="shared" si="5"/>
        <v>2.5188676601987176E-2</v>
      </c>
      <c r="M22" s="43">
        <f t="shared" si="6"/>
        <v>3.1499666060932401E-2</v>
      </c>
      <c r="O22" s="10">
        <v>14</v>
      </c>
      <c r="P22" s="18">
        <f>-'very sunny one 100'!AI15</f>
        <v>4.003703968006108E-2</v>
      </c>
      <c r="Q22" s="6">
        <f>-'very sunny one 100'!AJ15</f>
        <v>1.5335658766479408E-2</v>
      </c>
      <c r="R22" s="11">
        <f>-'very sunny one 100'!AK15</f>
        <v>9.5532482017151657E-3</v>
      </c>
      <c r="S22" s="18">
        <f>-'cloudy one 100'!AI15</f>
        <v>4.1030376554413849E-2</v>
      </c>
      <c r="T22" s="6">
        <f>-'cloudy one 100'!AJ15</f>
        <v>1.5751857662332579E-2</v>
      </c>
      <c r="U22" s="11">
        <f>-'cloudy one 100'!AK15</f>
        <v>9.8116534315662966E-3</v>
      </c>
      <c r="V22" s="41">
        <f t="shared" si="7"/>
        <v>4.0533708117237464E-2</v>
      </c>
      <c r="W22" s="42">
        <f t="shared" si="8"/>
        <v>1.5543758214405994E-2</v>
      </c>
      <c r="X22" s="43">
        <f t="shared" si="9"/>
        <v>9.6824508166407312E-3</v>
      </c>
      <c r="Z22" s="10">
        <v>14</v>
      </c>
      <c r="AA22" s="18">
        <f>-'very sunny all 10'!AI15</f>
        <v>8.005664490066523E-3</v>
      </c>
      <c r="AB22" s="6">
        <f>-'very sunny all 10'!AJ15</f>
        <v>1.3037390599790477E-2</v>
      </c>
      <c r="AC22" s="11">
        <f>-'very sunny all 10'!AK15</f>
        <v>2.0076098626628503E-2</v>
      </c>
      <c r="AD22" s="18">
        <f>-'cloudy all 10'!AI15</f>
        <v>1.0492297002854522E-2</v>
      </c>
      <c r="AE22" s="6">
        <f>-'cloudy all 10'!AJ15</f>
        <v>1.9612446888077107E-2</v>
      </c>
      <c r="AF22" s="11">
        <f>-'cloudy all 10'!AK15</f>
        <v>3.0237661527255145E-2</v>
      </c>
      <c r="AG22" s="41">
        <f t="shared" si="10"/>
        <v>9.2489807464605223E-3</v>
      </c>
      <c r="AH22" s="42">
        <f t="shared" si="2"/>
        <v>1.632491874393379E-2</v>
      </c>
      <c r="AI22" s="43">
        <f t="shared" si="3"/>
        <v>2.5156880076941824E-2</v>
      </c>
      <c r="AJ22" s="48">
        <f t="shared" si="11"/>
        <v>1.6910259855778712E-2</v>
      </c>
      <c r="AK22" s="48">
        <f t="shared" si="12"/>
        <v>5.073077956733614E-2</v>
      </c>
    </row>
    <row r="23" spans="1:37" x14ac:dyDescent="0.45">
      <c r="A23" s="10">
        <v>15</v>
      </c>
      <c r="B23" s="18">
        <f>-'Moderate sunny two 10 one 50'!AI16</f>
        <v>3.27304762371897E-2</v>
      </c>
      <c r="C23" s="6">
        <f>-'Moderate sunny two 10 one 50'!AJ16</f>
        <v>2.864481026551427E-2</v>
      </c>
      <c r="D23" s="11">
        <f>-'Moderate sunny two 10 one 50'!AK16</f>
        <v>3.5644938389071811E-2</v>
      </c>
      <c r="E23" s="18">
        <f>-'Very sunny two 10 one 50'!AI16</f>
        <v>2.4792199643131434E-2</v>
      </c>
      <c r="F23" s="6">
        <f>-'Very sunny two 10 one 50'!AJ16</f>
        <v>2.1421282565310139E-2</v>
      </c>
      <c r="G23" s="11">
        <f>-'Very sunny two 10 one 50'!AK16</f>
        <v>2.6868754723888083E-2</v>
      </c>
      <c r="H23" s="18">
        <f>-'cloudy two 10 one 50'!AI16</f>
        <v>3.342873092295652E-2</v>
      </c>
      <c r="I23" s="6">
        <f>-'cloudy two 10 one 50'!AJ16</f>
        <v>2.9281331047595432E-2</v>
      </c>
      <c r="J23" s="11">
        <f>-'cloudy two 10 one 50'!AK16</f>
        <v>3.6418729013680595E-2</v>
      </c>
      <c r="K23" s="41">
        <f t="shared" si="4"/>
        <v>3.0317135601092549E-2</v>
      </c>
      <c r="L23" s="42">
        <f t="shared" si="5"/>
        <v>2.6449141292806611E-2</v>
      </c>
      <c r="M23" s="43">
        <f t="shared" si="6"/>
        <v>3.2977474042213496E-2</v>
      </c>
      <c r="O23" s="10">
        <v>15</v>
      </c>
      <c r="P23" s="18">
        <f>-'very sunny one 100'!AI16</f>
        <v>4.0772964882065221E-2</v>
      </c>
      <c r="Q23" s="6">
        <f>-'very sunny one 100'!AJ16</f>
        <v>1.5629410972826281E-2</v>
      </c>
      <c r="R23" s="11">
        <f>-'very sunny one 100'!AK16</f>
        <v>9.7196514845373384E-3</v>
      </c>
      <c r="S23" s="18">
        <f>-'cloudy one 100'!AI16</f>
        <v>4.0772964882065221E-2</v>
      </c>
      <c r="T23" s="6">
        <f>-'cloudy one 100'!AJ16</f>
        <v>1.5642130387890137E-2</v>
      </c>
      <c r="U23" s="11">
        <f>-'cloudy one 100'!AK16</f>
        <v>9.7421798244792784E-3</v>
      </c>
      <c r="V23" s="41">
        <f t="shared" si="7"/>
        <v>4.0772964882065221E-2</v>
      </c>
      <c r="W23" s="42">
        <f t="shared" si="8"/>
        <v>1.5635770680358207E-2</v>
      </c>
      <c r="X23" s="43">
        <f t="shared" si="9"/>
        <v>9.7309156545083084E-3</v>
      </c>
      <c r="Z23" s="10">
        <v>15</v>
      </c>
      <c r="AA23" s="18">
        <f>-'very sunny all 10'!AI16</f>
        <v>8.6295724946702963E-3</v>
      </c>
      <c r="AB23" s="6">
        <f>-'very sunny all 10'!AJ16</f>
        <v>1.4687830489935627E-2</v>
      </c>
      <c r="AC23" s="11">
        <f>-'very sunny all 10'!AK16</f>
        <v>2.2627913838290149E-2</v>
      </c>
      <c r="AD23" s="18">
        <f>-'cloudy all 10'!AI16</f>
        <v>1.0513960595962218E-2</v>
      </c>
      <c r="AE23" s="6">
        <f>-'cloudy all 10'!AJ16</f>
        <v>1.9673772442374327E-2</v>
      </c>
      <c r="AF23" s="11">
        <f>-'cloudy all 10'!AK16</f>
        <v>3.0338731627239362E-2</v>
      </c>
      <c r="AG23" s="41">
        <f t="shared" si="10"/>
        <v>9.5717665453162563E-3</v>
      </c>
      <c r="AH23" s="42">
        <f t="shared" si="2"/>
        <v>1.7180801466154978E-2</v>
      </c>
      <c r="AI23" s="43">
        <f t="shared" si="3"/>
        <v>2.6483322732764755E-2</v>
      </c>
      <c r="AJ23" s="48">
        <f t="shared" si="11"/>
        <v>1.7745296914745329E-2</v>
      </c>
      <c r="AK23" s="48">
        <f t="shared" si="12"/>
        <v>5.3235890744235986E-2</v>
      </c>
    </row>
    <row r="24" spans="1:37" x14ac:dyDescent="0.45">
      <c r="A24" s="10">
        <v>16</v>
      </c>
      <c r="B24" s="18">
        <f>-'Moderate sunny two 10 one 50'!AI17</f>
        <v>3.4002132468944256E-2</v>
      </c>
      <c r="C24" s="6">
        <f>-'Moderate sunny two 10 one 50'!AJ17</f>
        <v>2.9471668267452636E-2</v>
      </c>
      <c r="D24" s="11">
        <f>-'Moderate sunny two 10 one 50'!AK17</f>
        <v>3.6502191940785175E-2</v>
      </c>
      <c r="E24" s="18">
        <f>-'Very sunny two 10 one 50'!AI17</f>
        <v>2.8850634508497303E-2</v>
      </c>
      <c r="F24" s="6">
        <f>-'Very sunny two 10 one 50'!AJ17</f>
        <v>2.4781521867762026E-2</v>
      </c>
      <c r="G24" s="11">
        <f>-'Very sunny two 10 one 50'!AK17</f>
        <v>3.0800584090576621E-2</v>
      </c>
      <c r="H24" s="18">
        <f>-'cloudy two 10 one 50'!AI17</f>
        <v>3.4141962407124304E-2</v>
      </c>
      <c r="I24" s="6">
        <f>-'cloudy two 10 one 50'!AJ17</f>
        <v>2.959910654379002E-2</v>
      </c>
      <c r="J24" s="11">
        <f>-'cloudy two 10 one 50'!AK17</f>
        <v>3.6657100831408274E-2</v>
      </c>
      <c r="K24" s="41">
        <f t="shared" si="4"/>
        <v>3.2331576461521953E-2</v>
      </c>
      <c r="L24" s="42">
        <f t="shared" si="5"/>
        <v>2.7950765559668227E-2</v>
      </c>
      <c r="M24" s="43">
        <f t="shared" si="6"/>
        <v>3.4653292287590023E-2</v>
      </c>
      <c r="O24" s="10">
        <v>16</v>
      </c>
      <c r="P24" s="18">
        <f>-'very sunny one 100'!AI17</f>
        <v>4.001057749847596E-2</v>
      </c>
      <c r="Q24" s="6">
        <f>-'very sunny one 100'!AJ17</f>
        <v>1.531705645751791E-2</v>
      </c>
      <c r="R24" s="11">
        <f>-'very sunny one 100'!AK17</f>
        <v>9.5367036668994893E-3</v>
      </c>
      <c r="S24" s="18">
        <f>-'cloudy one 100'!AI17</f>
        <v>4.0010660681069343E-2</v>
      </c>
      <c r="T24" s="6">
        <f>-'cloudy one 100'!AJ17</f>
        <v>1.5316719497505181E-2</v>
      </c>
      <c r="U24" s="11">
        <f>-'cloudy one 100'!AK17</f>
        <v>9.5358363905893116E-3</v>
      </c>
      <c r="V24" s="41">
        <f t="shared" si="7"/>
        <v>4.0010619089772652E-2</v>
      </c>
      <c r="W24" s="42">
        <f t="shared" si="8"/>
        <v>1.5316887977511545E-2</v>
      </c>
      <c r="X24" s="43">
        <f t="shared" si="9"/>
        <v>9.5362700287444004E-3</v>
      </c>
      <c r="Z24" s="10">
        <v>16</v>
      </c>
      <c r="AA24" s="18">
        <f>-'very sunny all 10'!AI17</f>
        <v>9.3519693395613755E-3</v>
      </c>
      <c r="AB24" s="6">
        <f>-'very sunny all 10'!AJ17</f>
        <v>1.6638883190520454E-2</v>
      </c>
      <c r="AC24" s="11">
        <f>-'very sunny all 10'!AK17</f>
        <v>2.5663839968577344E-2</v>
      </c>
      <c r="AD24" s="18">
        <f>-'cloudy all 10'!AI17</f>
        <v>1.0503965064640804E-2</v>
      </c>
      <c r="AE24" s="6">
        <f>-'cloudy all 10'!AJ17</f>
        <v>1.9688843038365614E-2</v>
      </c>
      <c r="AF24" s="11">
        <f>-'cloudy all 10'!AK17</f>
        <v>3.0386626439278391E-2</v>
      </c>
      <c r="AG24" s="41">
        <f t="shared" si="10"/>
        <v>9.9279672021010887E-3</v>
      </c>
      <c r="AH24" s="42">
        <f t="shared" si="2"/>
        <v>1.8163863114443034E-2</v>
      </c>
      <c r="AI24" s="43">
        <f t="shared" si="3"/>
        <v>2.8025233203927868E-2</v>
      </c>
      <c r="AJ24" s="48">
        <f t="shared" si="11"/>
        <v>1.8705687840157331E-2</v>
      </c>
      <c r="AK24" s="48">
        <f t="shared" si="12"/>
        <v>5.6117063520471994E-2</v>
      </c>
    </row>
    <row r="25" spans="1:37" x14ac:dyDescent="0.45">
      <c r="A25" s="10">
        <v>17</v>
      </c>
      <c r="B25" s="18">
        <f>-'Moderate sunny two 10 one 50'!AI18</f>
        <v>3.5234200081284181E-2</v>
      </c>
      <c r="C25" s="6">
        <f>-'Moderate sunny two 10 one 50'!AJ18</f>
        <v>3.0076533779838672E-2</v>
      </c>
      <c r="D25" s="11">
        <f>-'Moderate sunny two 10 one 50'!AK18</f>
        <v>3.7006514610726272E-2</v>
      </c>
      <c r="E25" s="18">
        <f>-'Very sunny two 10 one 50'!AI18</f>
        <v>3.2963021192798168E-2</v>
      </c>
      <c r="F25" s="6">
        <f>-'Very sunny two 10 one 50'!AJ18</f>
        <v>2.8008108056126281E-2</v>
      </c>
      <c r="G25" s="11">
        <f>-'Very sunny two 10 one 50'!AK18</f>
        <v>3.4490159435438664E-2</v>
      </c>
      <c r="H25" s="18">
        <f>-'cloudy two 10 one 50'!AI18</f>
        <v>3.5234200081284181E-2</v>
      </c>
      <c r="I25" s="6">
        <f>-'cloudy two 10 one 50'!AJ18</f>
        <v>3.0076533779838672E-2</v>
      </c>
      <c r="J25" s="11">
        <f>-'cloudy two 10 one 50'!AK18</f>
        <v>3.7006514610726272E-2</v>
      </c>
      <c r="K25" s="41">
        <f t="shared" si="4"/>
        <v>3.4477140451788839E-2</v>
      </c>
      <c r="L25" s="42">
        <f t="shared" si="5"/>
        <v>2.9387058538601209E-2</v>
      </c>
      <c r="M25" s="43">
        <f t="shared" si="6"/>
        <v>3.6167729552297072E-2</v>
      </c>
      <c r="O25" s="10">
        <v>17</v>
      </c>
      <c r="P25" s="18">
        <f>-'very sunny one 100'!AI18</f>
        <v>3.8850515068907764E-2</v>
      </c>
      <c r="Q25" s="6">
        <f>-'very sunny one 100'!AJ18</f>
        <v>1.4822899920175599E-2</v>
      </c>
      <c r="R25" s="11">
        <f>-'very sunny one 100'!AK18</f>
        <v>9.2231816314299764E-3</v>
      </c>
      <c r="S25" s="18">
        <f>-'cloudy one 100'!AI18</f>
        <v>3.8850515068907764E-2</v>
      </c>
      <c r="T25" s="6">
        <f>-'cloudy one 100'!AJ18</f>
        <v>1.4822899920175599E-2</v>
      </c>
      <c r="U25" s="11">
        <f>-'cloudy one 100'!AK18</f>
        <v>9.2231816314299764E-3</v>
      </c>
      <c r="V25" s="41">
        <f t="shared" si="7"/>
        <v>3.8850515068907764E-2</v>
      </c>
      <c r="W25" s="42">
        <f t="shared" si="8"/>
        <v>1.4822899920175599E-2</v>
      </c>
      <c r="X25" s="43">
        <f t="shared" si="9"/>
        <v>9.2231816314299764E-3</v>
      </c>
      <c r="Z25" s="10">
        <v>17</v>
      </c>
      <c r="AA25" s="18">
        <f>-'very sunny all 10'!AI18</f>
        <v>1.0040958901642694E-2</v>
      </c>
      <c r="AB25" s="6">
        <f>-'very sunny all 10'!AJ18</f>
        <v>1.8416231080646914E-2</v>
      </c>
      <c r="AC25" s="11">
        <f>-'very sunny all 10'!AK18</f>
        <v>2.8431802014690945E-2</v>
      </c>
      <c r="AD25" s="18">
        <f>-'cloudy all 10'!AI18</f>
        <v>1.0670002617111962E-2</v>
      </c>
      <c r="AE25" s="6">
        <f>-'cloudy all 10'!AJ18</f>
        <v>1.9780592609825426E-2</v>
      </c>
      <c r="AF25" s="11">
        <f>-'cloudy all 10'!AK18</f>
        <v>3.0495530595719085E-2</v>
      </c>
      <c r="AG25" s="41">
        <f t="shared" si="10"/>
        <v>1.0355480759377329E-2</v>
      </c>
      <c r="AH25" s="42">
        <f t="shared" si="2"/>
        <v>1.9098411845236168E-2</v>
      </c>
      <c r="AI25" s="43">
        <f t="shared" si="3"/>
        <v>2.9463666305205014E-2</v>
      </c>
      <c r="AJ25" s="48">
        <f t="shared" si="11"/>
        <v>1.9639186303272837E-2</v>
      </c>
      <c r="AK25" s="48">
        <f t="shared" si="12"/>
        <v>5.8917558909818507E-2</v>
      </c>
    </row>
    <row r="26" spans="1:37" x14ac:dyDescent="0.45">
      <c r="A26" s="10">
        <v>18</v>
      </c>
      <c r="B26" s="18">
        <f>-'Moderate sunny two 10 one 50'!AI19</f>
        <v>3.5665265257532108E-2</v>
      </c>
      <c r="C26" s="6">
        <f>-'Moderate sunny two 10 one 50'!AJ19</f>
        <v>3.0258051355527331E-2</v>
      </c>
      <c r="D26" s="11">
        <f>-'Moderate sunny two 10 one 50'!AK19</f>
        <v>3.7132880958842103E-2</v>
      </c>
      <c r="E26" s="18">
        <f>-'Very sunny two 10 one 50'!AI19</f>
        <v>3.5175100592689787E-2</v>
      </c>
      <c r="F26" s="6">
        <f>-'Very sunny two 10 one 50'!AJ19</f>
        <v>2.9811473123029692E-2</v>
      </c>
      <c r="G26" s="11">
        <f>-'Very sunny two 10 one 50'!AK19</f>
        <v>3.6589542569752546E-2</v>
      </c>
      <c r="H26" s="18">
        <f>-'cloudy two 10 one 50'!AI19</f>
        <v>3.5665265257532108E-2</v>
      </c>
      <c r="I26" s="6">
        <f>-'cloudy two 10 one 50'!AJ19</f>
        <v>3.0258051355527331E-2</v>
      </c>
      <c r="J26" s="11">
        <f>-'cloudy two 10 one 50'!AK19</f>
        <v>3.7132880958842103E-2</v>
      </c>
      <c r="K26" s="41">
        <f t="shared" si="4"/>
        <v>3.5501877035917999E-2</v>
      </c>
      <c r="L26" s="42">
        <f t="shared" si="5"/>
        <v>3.0109191944694785E-2</v>
      </c>
      <c r="M26" s="43">
        <f t="shared" si="6"/>
        <v>3.6951768162478915E-2</v>
      </c>
      <c r="O26" s="10">
        <v>18</v>
      </c>
      <c r="P26" s="18">
        <f>-'very sunny one 100'!AI19</f>
        <v>3.8374418607806597E-2</v>
      </c>
      <c r="Q26" s="6">
        <f>-'very sunny one 100'!AJ19</f>
        <v>1.4620377790829069E-2</v>
      </c>
      <c r="R26" s="11">
        <f>-'very sunny one 100'!AK19</f>
        <v>9.0949815540813158E-3</v>
      </c>
      <c r="S26" s="18">
        <f>-'cloudy one 100'!AI19</f>
        <v>3.8374418607806597E-2</v>
      </c>
      <c r="T26" s="6">
        <f>-'cloudy one 100'!AJ19</f>
        <v>1.4620377790829069E-2</v>
      </c>
      <c r="U26" s="11">
        <f>-'cloudy one 100'!AK19</f>
        <v>9.0949815540813158E-3</v>
      </c>
      <c r="V26" s="41">
        <f t="shared" si="7"/>
        <v>3.8374418607806597E-2</v>
      </c>
      <c r="W26" s="42">
        <f t="shared" si="8"/>
        <v>1.4620377790829069E-2</v>
      </c>
      <c r="X26" s="43">
        <f t="shared" si="9"/>
        <v>9.0949815540813158E-3</v>
      </c>
      <c r="Z26" s="10">
        <v>18</v>
      </c>
      <c r="AA26" s="18">
        <f>-'very sunny all 10'!AI19</f>
        <v>1.0957518556946003E-2</v>
      </c>
      <c r="AB26" s="6">
        <f>-'very sunny all 10'!AJ19</f>
        <v>1.9666188105321333E-2</v>
      </c>
      <c r="AC26" s="11">
        <f>-'very sunny all 10'!AK19</f>
        <v>3.0177906359540516E-2</v>
      </c>
      <c r="AD26" s="18">
        <f>-'cloudy all 10'!AI19</f>
        <v>1.109294829257625E-2</v>
      </c>
      <c r="AE26" s="6">
        <f>-'cloudy all 10'!AJ19</f>
        <v>1.9960372404996332E-2</v>
      </c>
      <c r="AF26" s="11">
        <f>-'cloudy all 10'!AK19</f>
        <v>3.0623445118692111E-2</v>
      </c>
      <c r="AG26" s="41">
        <f t="shared" si="10"/>
        <v>1.1025233424761126E-2</v>
      </c>
      <c r="AH26" s="42">
        <f t="shared" si="2"/>
        <v>1.9813280255158834E-2</v>
      </c>
      <c r="AI26" s="43">
        <f t="shared" si="3"/>
        <v>3.0400675739116312E-2</v>
      </c>
      <c r="AJ26" s="48">
        <f t="shared" si="11"/>
        <v>2.0413063139678757E-2</v>
      </c>
      <c r="AK26" s="48">
        <f t="shared" si="12"/>
        <v>6.123918941903627E-2</v>
      </c>
    </row>
    <row r="27" spans="1:37" x14ac:dyDescent="0.45">
      <c r="A27" s="10">
        <v>19</v>
      </c>
      <c r="B27" s="18">
        <f>-'Moderate sunny two 10 one 50'!AI20</f>
        <v>3.553981940889904E-2</v>
      </c>
      <c r="C27" s="6">
        <f>-'Moderate sunny two 10 one 50'!AJ20</f>
        <v>3.0205316509912952E-2</v>
      </c>
      <c r="D27" s="11">
        <f>-'Moderate sunny two 10 one 50'!AK20</f>
        <v>3.7096046398026487E-2</v>
      </c>
      <c r="E27" s="18">
        <f>-'Very sunny two 10 one 50'!AI20</f>
        <v>3.5504745401142013E-2</v>
      </c>
      <c r="F27" s="6">
        <f>-'Very sunny two 10 one 50'!AJ20</f>
        <v>3.0173397286825027E-2</v>
      </c>
      <c r="G27" s="11">
        <f>-'Very sunny two 10 one 50'!AK20</f>
        <v>3.7057255497550401E-2</v>
      </c>
      <c r="H27" s="18">
        <f>-'cloudy two 10 one 50'!AI20</f>
        <v>3.553981940889904E-2</v>
      </c>
      <c r="I27" s="6">
        <f>-'cloudy two 10 one 50'!AJ20</f>
        <v>3.0205316509912952E-2</v>
      </c>
      <c r="J27" s="11">
        <f>-'cloudy two 10 one 50'!AK20</f>
        <v>3.7096046398026487E-2</v>
      </c>
      <c r="K27" s="41">
        <f t="shared" si="4"/>
        <v>3.5528128072980031E-2</v>
      </c>
      <c r="L27" s="42">
        <f t="shared" si="5"/>
        <v>3.0194676768883644E-2</v>
      </c>
      <c r="M27" s="43">
        <f t="shared" si="6"/>
        <v>3.7083116097867797E-2</v>
      </c>
      <c r="O27" s="10">
        <v>19</v>
      </c>
      <c r="P27" s="18">
        <f>-'very sunny one 100'!AI20</f>
        <v>3.8513102303995017E-2</v>
      </c>
      <c r="Q27" s="6">
        <f>-'very sunny one 100'!AJ20</f>
        <v>1.4679469043186344E-2</v>
      </c>
      <c r="R27" s="11">
        <f>-'very sunny one 100'!AK20</f>
        <v>9.1323027884105921E-3</v>
      </c>
      <c r="S27" s="18">
        <f>-'cloudy one 100'!AI20</f>
        <v>3.8513102303995017E-2</v>
      </c>
      <c r="T27" s="6">
        <f>-'cloudy one 100'!AJ20</f>
        <v>1.4679469043186344E-2</v>
      </c>
      <c r="U27" s="11">
        <f>-'cloudy one 100'!AK20</f>
        <v>9.1323027884105921E-3</v>
      </c>
      <c r="V27" s="41">
        <f t="shared" si="7"/>
        <v>3.8513102303995017E-2</v>
      </c>
      <c r="W27" s="42">
        <f t="shared" si="8"/>
        <v>1.4679469043186344E-2</v>
      </c>
      <c r="X27" s="43">
        <f t="shared" si="9"/>
        <v>9.1323027884105921E-3</v>
      </c>
      <c r="Z27" s="10">
        <v>19</v>
      </c>
      <c r="AA27" s="18">
        <f>-'very sunny all 10'!AI20</f>
        <v>1.0960307113778271E-2</v>
      </c>
      <c r="AB27" s="6">
        <f>-'very sunny all 10'!AJ20</f>
        <v>1.9887168141449085E-2</v>
      </c>
      <c r="AC27" s="11">
        <f>-'very sunny all 10'!AK20</f>
        <v>3.0554449130035702E-2</v>
      </c>
      <c r="AD27" s="18">
        <f>-'cloudy all 10'!AI20</f>
        <v>1.096991643097282E-2</v>
      </c>
      <c r="AE27" s="6">
        <f>-'cloudy all 10'!AJ20</f>
        <v>1.9908252994095255E-2</v>
      </c>
      <c r="AF27" s="11">
        <f>-'cloudy all 10'!AK20</f>
        <v>3.0586111239200436E-2</v>
      </c>
      <c r="AG27" s="41">
        <f t="shared" si="10"/>
        <v>1.0965111772375545E-2</v>
      </c>
      <c r="AH27" s="42">
        <f t="shared" si="2"/>
        <v>1.9897710567772169E-2</v>
      </c>
      <c r="AI27" s="43">
        <f t="shared" si="3"/>
        <v>3.0570280184618069E-2</v>
      </c>
      <c r="AJ27" s="48">
        <f t="shared" si="11"/>
        <v>2.0477700841588595E-2</v>
      </c>
      <c r="AK27" s="48">
        <f t="shared" si="12"/>
        <v>6.1433102524765783E-2</v>
      </c>
    </row>
    <row r="28" spans="1:37" x14ac:dyDescent="0.45">
      <c r="A28" s="10">
        <v>20</v>
      </c>
      <c r="B28" s="18">
        <f>-'Moderate sunny two 10 one 50'!AI21</f>
        <v>3.5138738870904913E-2</v>
      </c>
      <c r="C28" s="6">
        <f>-'Moderate sunny two 10 one 50'!AJ21</f>
        <v>3.0036355407313416E-2</v>
      </c>
      <c r="D28" s="11">
        <f>-'Moderate sunny two 10 one 50'!AK21</f>
        <v>3.6978481414913257E-2</v>
      </c>
      <c r="E28" s="18">
        <f>-'Very sunny two 10 one 50'!AI21</f>
        <v>3.5138738870904913E-2</v>
      </c>
      <c r="F28" s="6">
        <f>-'Very sunny two 10 one 50'!AJ21</f>
        <v>3.0036355407313416E-2</v>
      </c>
      <c r="G28" s="11">
        <f>-'Very sunny two 10 one 50'!AK21</f>
        <v>3.6978481414913257E-2</v>
      </c>
      <c r="H28" s="18">
        <f>-'cloudy two 10 one 50'!AI21</f>
        <v>3.5138738870904913E-2</v>
      </c>
      <c r="I28" s="6">
        <f>-'cloudy two 10 one 50'!AJ21</f>
        <v>3.0036355407313416E-2</v>
      </c>
      <c r="J28" s="11">
        <f>-'cloudy two 10 one 50'!AK21</f>
        <v>3.6978481414913257E-2</v>
      </c>
      <c r="K28" s="41">
        <f t="shared" si="4"/>
        <v>3.5138738870904913E-2</v>
      </c>
      <c r="L28" s="42">
        <f t="shared" si="5"/>
        <v>3.0036355407313416E-2</v>
      </c>
      <c r="M28" s="43">
        <f t="shared" si="6"/>
        <v>3.6978481414913257E-2</v>
      </c>
      <c r="O28" s="10">
        <v>20</v>
      </c>
      <c r="P28" s="18">
        <f>-'very sunny one 100'!AI21</f>
        <v>3.8955908840989241E-2</v>
      </c>
      <c r="Q28" s="6">
        <f>-'very sunny one 100'!AJ21</f>
        <v>1.4867705345737881E-2</v>
      </c>
      <c r="R28" s="11">
        <f>-'very sunny one 100'!AK21</f>
        <v>9.2516007091241886E-3</v>
      </c>
      <c r="S28" s="18">
        <f>-'cloudy one 100'!AI21</f>
        <v>3.8955908840989241E-2</v>
      </c>
      <c r="T28" s="6">
        <f>-'cloudy one 100'!AJ21</f>
        <v>1.4867705345737881E-2</v>
      </c>
      <c r="U28" s="11">
        <f>-'cloudy one 100'!AK21</f>
        <v>9.2516007091241886E-3</v>
      </c>
      <c r="V28" s="41">
        <f t="shared" si="7"/>
        <v>3.8955908840989241E-2</v>
      </c>
      <c r="W28" s="42">
        <f t="shared" si="8"/>
        <v>1.4867705345737881E-2</v>
      </c>
      <c r="X28" s="43">
        <f t="shared" si="9"/>
        <v>9.2516007091241886E-3</v>
      </c>
      <c r="Z28" s="10">
        <v>20</v>
      </c>
      <c r="AA28" s="18">
        <f>-'very sunny all 10'!AI21</f>
        <v>1.0576217218321448E-2</v>
      </c>
      <c r="AB28" s="6">
        <f>-'very sunny all 10'!AJ21</f>
        <v>1.974060900636803E-2</v>
      </c>
      <c r="AC28" s="11">
        <f>-'very sunny all 10'!AK21</f>
        <v>3.0467011100124636E-2</v>
      </c>
      <c r="AD28" s="18">
        <f>-'cloudy all 10'!AI21</f>
        <v>1.0576217218321448E-2</v>
      </c>
      <c r="AE28" s="6">
        <f>-'cloudy all 10'!AJ21</f>
        <v>1.974060900636803E-2</v>
      </c>
      <c r="AF28" s="11">
        <f>-'cloudy all 10'!AK21</f>
        <v>3.0467011100124636E-2</v>
      </c>
      <c r="AG28" s="41">
        <f t="shared" si="10"/>
        <v>1.0576217218321448E-2</v>
      </c>
      <c r="AH28" s="42">
        <f t="shared" si="2"/>
        <v>1.974060900636803E-2</v>
      </c>
      <c r="AI28" s="43">
        <f t="shared" si="3"/>
        <v>3.0467011100124636E-2</v>
      </c>
      <c r="AJ28" s="48">
        <f t="shared" si="11"/>
        <v>2.0261279108271371E-2</v>
      </c>
      <c r="AK28" s="48">
        <f t="shared" si="12"/>
        <v>6.0783837324814113E-2</v>
      </c>
    </row>
    <row r="29" spans="1:37" x14ac:dyDescent="0.45">
      <c r="A29" s="10">
        <v>21</v>
      </c>
      <c r="B29" s="18">
        <f>-'Moderate sunny two 10 one 50'!AI22</f>
        <v>3.4271682570363192E-2</v>
      </c>
      <c r="C29" s="6">
        <f>-'Moderate sunny two 10 one 50'!AJ22</f>
        <v>2.9670734185068243E-2</v>
      </c>
      <c r="D29" s="11">
        <f>-'Moderate sunny two 10 one 50'!AK22</f>
        <v>3.6723756626710617E-2</v>
      </c>
      <c r="E29" s="18">
        <f>-'Very sunny two 10 one 50'!AI22</f>
        <v>3.4271682570363192E-2</v>
      </c>
      <c r="F29" s="6">
        <f>-'Very sunny two 10 one 50'!AJ22</f>
        <v>2.9670734185068243E-2</v>
      </c>
      <c r="G29" s="11">
        <f>-'Very sunny two 10 one 50'!AK22</f>
        <v>3.6723756626710617E-2</v>
      </c>
      <c r="H29" s="18">
        <f>-'cloudy two 10 one 50'!AI22</f>
        <v>3.4271682570363192E-2</v>
      </c>
      <c r="I29" s="6">
        <f>-'cloudy two 10 one 50'!AJ22</f>
        <v>2.9670734185068243E-2</v>
      </c>
      <c r="J29" s="11">
        <f>-'cloudy two 10 one 50'!AK22</f>
        <v>3.6723756626710617E-2</v>
      </c>
      <c r="K29" s="41">
        <f t="shared" si="4"/>
        <v>3.4271682570363192E-2</v>
      </c>
      <c r="L29" s="42">
        <f t="shared" si="5"/>
        <v>2.9670734185068243E-2</v>
      </c>
      <c r="M29" s="43">
        <f t="shared" si="6"/>
        <v>3.6723756626710617E-2</v>
      </c>
      <c r="O29" s="10">
        <v>21</v>
      </c>
      <c r="P29" s="18">
        <f>-'very sunny one 100'!AI22</f>
        <v>3.9907253205798875E-2</v>
      </c>
      <c r="Q29" s="6">
        <f>-'very sunny one 100'!AJ22</f>
        <v>1.5272634449800787E-2</v>
      </c>
      <c r="R29" s="11">
        <f>-'very sunny one 100'!AK22</f>
        <v>9.5081330239105352E-3</v>
      </c>
      <c r="S29" s="18">
        <f>-'cloudy one 100'!AI22</f>
        <v>3.9907253205798875E-2</v>
      </c>
      <c r="T29" s="6">
        <f>-'cloudy one 100'!AJ22</f>
        <v>1.5272634449800787E-2</v>
      </c>
      <c r="U29" s="11">
        <f>-'cloudy one 100'!AK22</f>
        <v>9.5081330239105352E-3</v>
      </c>
      <c r="V29" s="41">
        <f t="shared" si="7"/>
        <v>3.9907253205798875E-2</v>
      </c>
      <c r="W29" s="42">
        <f t="shared" si="8"/>
        <v>1.5272634449800787E-2</v>
      </c>
      <c r="X29" s="43">
        <f t="shared" si="9"/>
        <v>9.5081330239105352E-3</v>
      </c>
      <c r="Z29" s="10">
        <v>21</v>
      </c>
      <c r="AA29" s="18">
        <f>-'very sunny all 10'!AI22</f>
        <v>1.0510833248646207E-2</v>
      </c>
      <c r="AB29" s="6">
        <f>-'very sunny all 10'!AJ22</f>
        <v>1.9709090180781545E-2</v>
      </c>
      <c r="AC29" s="11">
        <f>-'very sunny all 10'!AK22</f>
        <v>3.042079616342841E-2</v>
      </c>
      <c r="AD29" s="18">
        <f>-'cloudy all 10'!AI22</f>
        <v>1.0510833248646207E-2</v>
      </c>
      <c r="AE29" s="6">
        <f>-'cloudy all 10'!AJ22</f>
        <v>1.9709090180781545E-2</v>
      </c>
      <c r="AF29" s="11">
        <f>-'cloudy all 10'!AK22</f>
        <v>3.042079616342841E-2</v>
      </c>
      <c r="AG29" s="41">
        <f t="shared" si="10"/>
        <v>1.0510833248646207E-2</v>
      </c>
      <c r="AH29" s="42">
        <f t="shared" si="2"/>
        <v>1.9709090180781545E-2</v>
      </c>
      <c r="AI29" s="43">
        <f t="shared" si="3"/>
        <v>3.042079616342841E-2</v>
      </c>
      <c r="AJ29" s="48">
        <f t="shared" si="11"/>
        <v>2.0213573197618722E-2</v>
      </c>
      <c r="AK29" s="48">
        <f t="shared" si="12"/>
        <v>6.0640719592856163E-2</v>
      </c>
    </row>
    <row r="30" spans="1:37" x14ac:dyDescent="0.45">
      <c r="A30" s="10">
        <v>22</v>
      </c>
      <c r="B30" s="18">
        <f>-'Moderate sunny two 10 one 50'!AI23</f>
        <v>3.2540230809487806E-2</v>
      </c>
      <c r="C30" s="6">
        <f>-'Moderate sunny two 10 one 50'!AJ23</f>
        <v>2.8940565331130954E-2</v>
      </c>
      <c r="D30" s="11">
        <f>-'Moderate sunny two 10 one 50'!AK23</f>
        <v>3.6213977935472791E-2</v>
      </c>
      <c r="E30" s="18">
        <f>-'Very sunny two 10 one 50'!AI23</f>
        <v>3.2540230809487806E-2</v>
      </c>
      <c r="F30" s="6">
        <f>-'Very sunny two 10 one 50'!AJ23</f>
        <v>2.8940565331130954E-2</v>
      </c>
      <c r="G30" s="11">
        <f>-'Very sunny two 10 one 50'!AK23</f>
        <v>3.6213977935472791E-2</v>
      </c>
      <c r="H30" s="18">
        <f>-'cloudy two 10 one 50'!AI23</f>
        <v>3.2540230809487806E-2</v>
      </c>
      <c r="I30" s="6">
        <f>-'cloudy two 10 one 50'!AJ23</f>
        <v>2.8940565331130954E-2</v>
      </c>
      <c r="J30" s="11">
        <f>-'cloudy two 10 one 50'!AK23</f>
        <v>3.6213977935472791E-2</v>
      </c>
      <c r="K30" s="41">
        <f t="shared" si="4"/>
        <v>3.2540230809487806E-2</v>
      </c>
      <c r="L30" s="42">
        <f t="shared" si="5"/>
        <v>2.8940565331130954E-2</v>
      </c>
      <c r="M30" s="43">
        <f t="shared" si="6"/>
        <v>3.6213977935472791E-2</v>
      </c>
      <c r="O30" s="10">
        <v>22</v>
      </c>
      <c r="P30" s="18">
        <f>-'very sunny one 100'!AI23</f>
        <v>4.1799802979652335E-2</v>
      </c>
      <c r="Q30" s="6">
        <f>-'very sunny one 100'!AJ23</f>
        <v>1.6081055373071779E-2</v>
      </c>
      <c r="R30" s="11">
        <f>-'very sunny one 100'!AK23</f>
        <v>1.0020677833745772E-2</v>
      </c>
      <c r="S30" s="18">
        <f>-'cloudy one 100'!AI23</f>
        <v>4.1799802979652335E-2</v>
      </c>
      <c r="T30" s="6">
        <f>-'cloudy one 100'!AJ23</f>
        <v>1.6081055373071779E-2</v>
      </c>
      <c r="U30" s="11">
        <f>-'cloudy one 100'!AK23</f>
        <v>1.0020677833745772E-2</v>
      </c>
      <c r="V30" s="41">
        <f t="shared" si="7"/>
        <v>4.1799802979652335E-2</v>
      </c>
      <c r="W30" s="42">
        <f t="shared" si="8"/>
        <v>1.6081055373071779E-2</v>
      </c>
      <c r="X30" s="43">
        <f t="shared" si="9"/>
        <v>1.0020677833745772E-2</v>
      </c>
      <c r="Z30" s="10">
        <v>22</v>
      </c>
      <c r="AA30" s="18">
        <f>-'very sunny all 10'!AI23</f>
        <v>1.0533716266421286E-2</v>
      </c>
      <c r="AB30" s="6">
        <f>-'very sunny all 10'!AJ23</f>
        <v>1.9711731961988641E-2</v>
      </c>
      <c r="AC30" s="11">
        <f>-'very sunny all 10'!AK23</f>
        <v>3.0371238026203624E-2</v>
      </c>
      <c r="AD30" s="18">
        <f>-'cloudy all 10'!AI23</f>
        <v>1.0533716266421286E-2</v>
      </c>
      <c r="AE30" s="6">
        <f>-'cloudy all 10'!AJ23</f>
        <v>1.9711731961988641E-2</v>
      </c>
      <c r="AF30" s="11">
        <f>-'cloudy all 10'!AK23</f>
        <v>3.0371238026203624E-2</v>
      </c>
      <c r="AG30" s="41">
        <f t="shared" si="10"/>
        <v>1.0533716266421286E-2</v>
      </c>
      <c r="AH30" s="42">
        <f t="shared" si="2"/>
        <v>1.9711731961988641E-2</v>
      </c>
      <c r="AI30" s="43">
        <f t="shared" si="3"/>
        <v>3.0371238026203624E-2</v>
      </c>
      <c r="AJ30" s="48">
        <f t="shared" si="11"/>
        <v>2.0205562084871186E-2</v>
      </c>
      <c r="AK30" s="48">
        <f t="shared" si="12"/>
        <v>6.0616686254613555E-2</v>
      </c>
    </row>
    <row r="31" spans="1:37" x14ac:dyDescent="0.45">
      <c r="A31" s="10">
        <v>23</v>
      </c>
      <c r="B31" s="18">
        <f>-'Moderate sunny two 10 one 50'!AI24</f>
        <v>3.0428661439555822E-2</v>
      </c>
      <c r="C31" s="6">
        <f>-'Moderate sunny two 10 one 50'!AJ24</f>
        <v>2.8048868866180306E-2</v>
      </c>
      <c r="D31" s="11">
        <f>-'Moderate sunny two 10 one 50'!AK24</f>
        <v>3.5590501980471659E-2</v>
      </c>
      <c r="E31" s="18">
        <f>-'Very sunny two 10 one 50'!AI24</f>
        <v>3.0428661439555822E-2</v>
      </c>
      <c r="F31" s="6">
        <f>-'Very sunny two 10 one 50'!AJ24</f>
        <v>2.8048868866180306E-2</v>
      </c>
      <c r="G31" s="11">
        <f>-'Very sunny two 10 one 50'!AK24</f>
        <v>3.5590501980471659E-2</v>
      </c>
      <c r="H31" s="18">
        <f>-'cloudy two 10 one 50'!AI24</f>
        <v>3.0428661439555822E-2</v>
      </c>
      <c r="I31" s="6">
        <f>-'cloudy two 10 one 50'!AJ24</f>
        <v>2.8048868866180306E-2</v>
      </c>
      <c r="J31" s="11">
        <f>-'cloudy two 10 one 50'!AK24</f>
        <v>3.5590501980471659E-2</v>
      </c>
      <c r="K31" s="41">
        <f t="shared" si="4"/>
        <v>3.0428661439555822E-2</v>
      </c>
      <c r="L31" s="42">
        <f t="shared" si="5"/>
        <v>2.8048868866180309E-2</v>
      </c>
      <c r="M31" s="43">
        <f t="shared" si="6"/>
        <v>3.5590501980471659E-2</v>
      </c>
      <c r="O31" s="10">
        <v>23</v>
      </c>
      <c r="P31" s="18">
        <f>-'very sunny one 100'!AI24</f>
        <v>4.4029657312122703E-2</v>
      </c>
      <c r="Q31" s="6">
        <f>-'very sunny one 100'!AJ24</f>
        <v>1.7037245936104867E-2</v>
      </c>
      <c r="R31" s="11">
        <f>-'very sunny one 100'!AK24</f>
        <v>1.0628182697950694E-2</v>
      </c>
      <c r="S31" s="18">
        <f>-'cloudy one 100'!AI24</f>
        <v>4.4029657312122703E-2</v>
      </c>
      <c r="T31" s="6">
        <f>-'cloudy one 100'!AJ24</f>
        <v>1.7037245936104867E-2</v>
      </c>
      <c r="U31" s="11">
        <f>-'cloudy one 100'!AK24</f>
        <v>1.0628182697950694E-2</v>
      </c>
      <c r="V31" s="41">
        <f t="shared" si="7"/>
        <v>4.4029657312122703E-2</v>
      </c>
      <c r="W31" s="42">
        <f t="shared" si="8"/>
        <v>1.7037245936104867E-2</v>
      </c>
      <c r="X31" s="43">
        <f t="shared" si="9"/>
        <v>1.0628182697950694E-2</v>
      </c>
      <c r="Z31" s="10">
        <v>23</v>
      </c>
      <c r="AA31" s="18">
        <f>-'very sunny all 10'!AI24</f>
        <v>1.0548372313815887E-2</v>
      </c>
      <c r="AB31" s="6">
        <f>-'very sunny all 10'!AJ24</f>
        <v>1.9712669754798719E-2</v>
      </c>
      <c r="AC31" s="11">
        <f>-'very sunny all 10'!AK24</f>
        <v>3.0313441713707985E-2</v>
      </c>
      <c r="AD31" s="18">
        <f>-'cloudy all 10'!AI24</f>
        <v>1.0548372313815887E-2</v>
      </c>
      <c r="AE31" s="6">
        <f>-'cloudy all 10'!AJ24</f>
        <v>1.9712669754798719E-2</v>
      </c>
      <c r="AF31" s="11">
        <f>-'cloudy all 10'!AK24</f>
        <v>3.0313441713707985E-2</v>
      </c>
      <c r="AG31" s="41">
        <f t="shared" si="10"/>
        <v>1.0548372313815887E-2</v>
      </c>
      <c r="AH31" s="42">
        <f t="shared" si="2"/>
        <v>1.9712669754798719E-2</v>
      </c>
      <c r="AI31" s="43">
        <f t="shared" si="3"/>
        <v>3.0313441713707985E-2</v>
      </c>
      <c r="AJ31" s="48">
        <f t="shared" si="11"/>
        <v>2.0191494594107531E-2</v>
      </c>
      <c r="AK31" s="48">
        <f t="shared" si="12"/>
        <v>6.0574483782322594E-2</v>
      </c>
    </row>
    <row r="32" spans="1:37" ht="14.65" thickBot="1" x14ac:dyDescent="0.5">
      <c r="A32" s="12">
        <v>24</v>
      </c>
      <c r="B32" s="19">
        <f>-'Moderate sunny two 10 one 50'!AI25</f>
        <v>2.9637082377956234E-2</v>
      </c>
      <c r="C32" s="13">
        <f>-'Moderate sunny two 10 one 50'!AJ25</f>
        <v>2.7715256017469984E-2</v>
      </c>
      <c r="D32" s="14">
        <f>-'Moderate sunny two 10 one 50'!AK25</f>
        <v>3.5329925142721555E-2</v>
      </c>
      <c r="E32" s="19">
        <f>-'Very sunny two 10 one 50'!AI25</f>
        <v>2.9637082377956234E-2</v>
      </c>
      <c r="F32" s="13">
        <f>-'Very sunny two 10 one 50'!AJ25</f>
        <v>2.7715256017469984E-2</v>
      </c>
      <c r="G32" s="14">
        <f>-'Very sunny two 10 one 50'!AK25</f>
        <v>3.5329925142721555E-2</v>
      </c>
      <c r="H32" s="19">
        <f>-'cloudy two 10 one 50'!AI25</f>
        <v>2.9637082377956234E-2</v>
      </c>
      <c r="I32" s="13">
        <f>-'cloudy two 10 one 50'!AJ25</f>
        <v>2.7715256017469984E-2</v>
      </c>
      <c r="J32" s="14">
        <f>-'cloudy two 10 one 50'!AK25</f>
        <v>3.5329925142721555E-2</v>
      </c>
      <c r="K32" s="44">
        <f t="shared" si="4"/>
        <v>2.9637082377956234E-2</v>
      </c>
      <c r="L32" s="45">
        <f t="shared" si="5"/>
        <v>2.7715256017469981E-2</v>
      </c>
      <c r="M32" s="46">
        <f t="shared" si="6"/>
        <v>3.5329925142721555E-2</v>
      </c>
      <c r="O32" s="12">
        <v>24</v>
      </c>
      <c r="P32" s="19">
        <f>-'very sunny one 100'!AI25</f>
        <v>4.5845994557326832E-2</v>
      </c>
      <c r="Q32" s="13">
        <f>-'very sunny one 100'!AJ25</f>
        <v>1.7819538644449143E-2</v>
      </c>
      <c r="R32" s="14">
        <f>-'very sunny one 100'!AK25</f>
        <v>1.1126702511150039E-2</v>
      </c>
      <c r="S32" s="19">
        <f>-'cloudy one 100'!AI25</f>
        <v>4.5845994557326832E-2</v>
      </c>
      <c r="T32" s="13">
        <f>-'cloudy one 100'!AJ25</f>
        <v>1.7819538644449143E-2</v>
      </c>
      <c r="U32" s="14">
        <f>-'cloudy one 100'!AK25</f>
        <v>1.1126702511150039E-2</v>
      </c>
      <c r="V32" s="44">
        <f t="shared" si="7"/>
        <v>4.5845994557326832E-2</v>
      </c>
      <c r="W32" s="45">
        <f t="shared" si="8"/>
        <v>1.7819538644449143E-2</v>
      </c>
      <c r="X32" s="46">
        <f t="shared" si="9"/>
        <v>1.1126702511150039E-2</v>
      </c>
      <c r="Z32" s="12">
        <v>24</v>
      </c>
      <c r="AA32" s="19">
        <f>-'very sunny all 10'!AI25</f>
        <v>1.0560055854839606E-2</v>
      </c>
      <c r="AB32" s="13">
        <f>-'very sunny all 10'!AJ25</f>
        <v>1.9708435452062134E-2</v>
      </c>
      <c r="AC32" s="14">
        <f>-'very sunny all 10'!AK25</f>
        <v>3.0255897454571707E-2</v>
      </c>
      <c r="AD32" s="19">
        <f>-'cloudy all 10'!AI25</f>
        <v>1.0560055854839606E-2</v>
      </c>
      <c r="AE32" s="13">
        <f>-'cloudy all 10'!AJ25</f>
        <v>1.9708435452062134E-2</v>
      </c>
      <c r="AF32" s="14">
        <f>-'cloudy all 10'!AK25</f>
        <v>3.0255897454571707E-2</v>
      </c>
      <c r="AG32" s="44">
        <f t="shared" si="10"/>
        <v>1.0560055854839606E-2</v>
      </c>
      <c r="AH32" s="45">
        <f t="shared" si="2"/>
        <v>1.9708435452062134E-2</v>
      </c>
      <c r="AI32" s="46">
        <f t="shared" si="3"/>
        <v>3.0255897454571707E-2</v>
      </c>
      <c r="AJ32" s="48">
        <f t="shared" si="11"/>
        <v>2.0174796253824484E-2</v>
      </c>
      <c r="AK32" s="48">
        <f t="shared" si="12"/>
        <v>6.0524388761473452E-2</v>
      </c>
    </row>
    <row r="39" spans="14:14" x14ac:dyDescent="0.45">
      <c r="N39" s="47"/>
    </row>
    <row r="54" spans="1:20" x14ac:dyDescent="0.45">
      <c r="A54" s="55" t="s">
        <v>0</v>
      </c>
      <c r="B54" s="55" t="s">
        <v>52</v>
      </c>
      <c r="C54" s="55" t="s">
        <v>60</v>
      </c>
      <c r="D54" s="55" t="s">
        <v>41</v>
      </c>
      <c r="E54" s="55" t="s">
        <v>61</v>
      </c>
    </row>
    <row r="55" spans="1:20" x14ac:dyDescent="0.45">
      <c r="A55">
        <v>1</v>
      </c>
      <c r="B55" s="53">
        <v>9.8000000000000007</v>
      </c>
      <c r="C55" s="56">
        <v>0.77159999999999995</v>
      </c>
      <c r="G55" s="50"/>
      <c r="H55" s="50"/>
      <c r="I55" s="50"/>
      <c r="J55" s="50"/>
      <c r="L55" s="50"/>
      <c r="M55" s="50"/>
      <c r="N55" s="50"/>
      <c r="O55" s="50"/>
      <c r="P55" s="50"/>
      <c r="Q55" s="50"/>
      <c r="R55" s="50"/>
      <c r="S55" s="50"/>
      <c r="T55" s="50"/>
    </row>
    <row r="56" spans="1:20" x14ac:dyDescent="0.45">
      <c r="A56">
        <v>2</v>
      </c>
      <c r="B56" s="53">
        <v>9.8000000000000007</v>
      </c>
      <c r="C56" s="56">
        <v>0.75170000000000003</v>
      </c>
      <c r="H56" s="51"/>
      <c r="I56" s="51"/>
      <c r="J56" s="51"/>
      <c r="K56" s="51"/>
      <c r="L56" s="48"/>
      <c r="M56" s="48"/>
      <c r="N56" s="48"/>
    </row>
    <row r="57" spans="1:20" x14ac:dyDescent="0.45">
      <c r="A57">
        <v>3</v>
      </c>
      <c r="B57" s="53">
        <v>9.8000000000000007</v>
      </c>
      <c r="C57" s="56">
        <v>0.74070000000000003</v>
      </c>
      <c r="H57" s="51"/>
      <c r="I57" s="51"/>
      <c r="J57" s="51"/>
      <c r="K57" s="51"/>
    </row>
    <row r="58" spans="1:20" x14ac:dyDescent="0.45">
      <c r="A58">
        <v>4</v>
      </c>
      <c r="B58" s="53">
        <v>9.8000000000000007</v>
      </c>
      <c r="C58" s="56">
        <v>0.73980000000000001</v>
      </c>
      <c r="H58" s="51"/>
      <c r="I58" s="51"/>
      <c r="J58" s="51"/>
      <c r="K58" s="51"/>
    </row>
    <row r="59" spans="1:20" x14ac:dyDescent="0.45">
      <c r="A59">
        <v>5</v>
      </c>
      <c r="B59" s="53">
        <v>9.8000000000000007</v>
      </c>
      <c r="C59" s="56">
        <v>0.75629999999999997</v>
      </c>
      <c r="H59" s="51"/>
      <c r="I59" s="51"/>
      <c r="J59" s="51"/>
    </row>
    <row r="60" spans="1:20" x14ac:dyDescent="0.45">
      <c r="A60">
        <v>6</v>
      </c>
      <c r="B60" s="53">
        <v>9.8000000000000007</v>
      </c>
      <c r="C60" s="56">
        <v>0.79859999999999998</v>
      </c>
      <c r="H60" s="51"/>
      <c r="I60" s="51"/>
      <c r="J60" s="51"/>
    </row>
    <row r="61" spans="1:20" x14ac:dyDescent="0.45">
      <c r="A61">
        <v>7</v>
      </c>
      <c r="B61" s="53">
        <v>9.8000000000000007</v>
      </c>
      <c r="C61" s="56">
        <v>0.86260000000000003</v>
      </c>
      <c r="G61" s="50"/>
    </row>
    <row r="62" spans="1:20" x14ac:dyDescent="0.45">
      <c r="A62">
        <v>8</v>
      </c>
      <c r="B62" s="53">
        <v>20.3</v>
      </c>
      <c r="C62" s="56">
        <v>0.90590000000000004</v>
      </c>
      <c r="H62" s="51"/>
      <c r="I62" s="51"/>
      <c r="J62" s="51"/>
    </row>
    <row r="63" spans="1:20" x14ac:dyDescent="0.45">
      <c r="A63">
        <v>9</v>
      </c>
      <c r="B63" s="53">
        <v>20.3</v>
      </c>
      <c r="C63" s="56">
        <v>0.91810000000000003</v>
      </c>
      <c r="H63" s="51"/>
      <c r="I63" s="51"/>
      <c r="J63" s="51"/>
    </row>
    <row r="64" spans="1:20" x14ac:dyDescent="0.45">
      <c r="A64">
        <v>10</v>
      </c>
      <c r="B64" s="53">
        <v>20.3</v>
      </c>
      <c r="C64" s="56">
        <v>0.92300000000000004</v>
      </c>
      <c r="H64" s="51"/>
      <c r="I64" s="51"/>
      <c r="J64" s="51"/>
    </row>
    <row r="65" spans="1:14" x14ac:dyDescent="0.45">
      <c r="A65">
        <v>11</v>
      </c>
      <c r="B65" s="53">
        <v>20.3</v>
      </c>
      <c r="C65" s="56">
        <v>0.92610000000000003</v>
      </c>
      <c r="H65" s="51"/>
      <c r="I65" s="51"/>
      <c r="J65" s="51"/>
    </row>
    <row r="66" spans="1:14" x14ac:dyDescent="0.45">
      <c r="A66">
        <v>12</v>
      </c>
      <c r="B66" s="53">
        <v>15.7</v>
      </c>
      <c r="C66" s="56">
        <v>0.92920000000000003</v>
      </c>
    </row>
    <row r="67" spans="1:14" x14ac:dyDescent="0.45">
      <c r="A67">
        <v>13</v>
      </c>
      <c r="B67" s="53">
        <v>15.7</v>
      </c>
      <c r="C67" s="56">
        <v>0.93220000000000003</v>
      </c>
    </row>
    <row r="68" spans="1:14" x14ac:dyDescent="0.45">
      <c r="A68">
        <v>14</v>
      </c>
      <c r="B68" s="53">
        <v>15.7</v>
      </c>
      <c r="C68" s="56">
        <v>0.93379999999999996</v>
      </c>
    </row>
    <row r="69" spans="1:14" x14ac:dyDescent="0.45">
      <c r="A69">
        <v>15</v>
      </c>
      <c r="B69" s="53">
        <v>15.7</v>
      </c>
      <c r="C69" s="56">
        <v>0.94040000000000001</v>
      </c>
      <c r="N69" s="52" t="s">
        <v>45</v>
      </c>
    </row>
    <row r="70" spans="1:14" x14ac:dyDescent="0.45">
      <c r="A70">
        <v>16</v>
      </c>
      <c r="B70" s="53">
        <v>15.7</v>
      </c>
      <c r="C70" s="56">
        <v>0.95940000000000003</v>
      </c>
    </row>
    <row r="71" spans="1:14" x14ac:dyDescent="0.45">
      <c r="A71">
        <v>17</v>
      </c>
      <c r="B71" s="53">
        <v>15.7</v>
      </c>
      <c r="C71" s="56">
        <v>0.98829999999999996</v>
      </c>
    </row>
    <row r="72" spans="1:14" x14ac:dyDescent="0.45">
      <c r="A72">
        <v>18</v>
      </c>
      <c r="B72" s="53">
        <v>20.3</v>
      </c>
      <c r="C72" s="56">
        <v>1</v>
      </c>
    </row>
    <row r="73" spans="1:14" x14ac:dyDescent="0.45">
      <c r="A73">
        <v>19</v>
      </c>
      <c r="B73" s="53">
        <v>20.3</v>
      </c>
      <c r="C73" s="56">
        <v>0.99660000000000004</v>
      </c>
    </row>
    <row r="74" spans="1:14" x14ac:dyDescent="0.45">
      <c r="A74">
        <v>20</v>
      </c>
      <c r="B74" s="53">
        <v>9.8000000000000007</v>
      </c>
      <c r="C74" s="56">
        <v>0.98570000000000002</v>
      </c>
    </row>
    <row r="75" spans="1:14" x14ac:dyDescent="0.45">
      <c r="A75">
        <v>21</v>
      </c>
      <c r="B75" s="53">
        <v>9.8000000000000007</v>
      </c>
      <c r="C75" s="56">
        <v>0.96199999999999997</v>
      </c>
    </row>
    <row r="76" spans="1:14" x14ac:dyDescent="0.45">
      <c r="A76">
        <v>22</v>
      </c>
      <c r="B76" s="53">
        <v>9.8000000000000007</v>
      </c>
      <c r="C76" s="56">
        <v>0.91390000000000005</v>
      </c>
    </row>
    <row r="77" spans="1:14" x14ac:dyDescent="0.45">
      <c r="A77">
        <v>23</v>
      </c>
      <c r="B77" s="53">
        <v>9.8000000000000007</v>
      </c>
      <c r="C77" s="56">
        <v>0.85470000000000002</v>
      </c>
    </row>
    <row r="78" spans="1:14" x14ac:dyDescent="0.45">
      <c r="A78">
        <v>24</v>
      </c>
      <c r="B78" s="53">
        <v>9.8000000000000007</v>
      </c>
      <c r="C78" s="56">
        <v>0.80469999999999997</v>
      </c>
    </row>
  </sheetData>
  <mergeCells count="16">
    <mergeCell ref="Z6:AF6"/>
    <mergeCell ref="Z7:Z8"/>
    <mergeCell ref="AA7:AC7"/>
    <mergeCell ref="AD7:AF7"/>
    <mergeCell ref="V7:X7"/>
    <mergeCell ref="O7:O8"/>
    <mergeCell ref="P7:R7"/>
    <mergeCell ref="S7:U7"/>
    <mergeCell ref="AG7:AI7"/>
    <mergeCell ref="O6:U6"/>
    <mergeCell ref="B7:D7"/>
    <mergeCell ref="E7:G7"/>
    <mergeCell ref="H7:J7"/>
    <mergeCell ref="A7:A8"/>
    <mergeCell ref="A6:J6"/>
    <mergeCell ref="K7:M7"/>
  </mergeCells>
  <phoneticPr fontId="5" type="noConversion"/>
  <hyperlinks>
    <hyperlink ref="N69" r:id="rId1" location="current" display="https://www.oeb.ca/consumer-information-and-protection/electricity-rates - current" xr:uid="{72951B85-FE9C-4CB4-A510-42B239CB2D61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03921-1FA1-4B64-96C7-9A1EC9E10B53}">
  <dimension ref="A1:AK25"/>
  <sheetViews>
    <sheetView zoomScaleNormal="100" workbookViewId="0">
      <selection activeCell="I2" sqref="I2:J2"/>
    </sheetView>
  </sheetViews>
  <sheetFormatPr defaultRowHeight="14.25" x14ac:dyDescent="0.45"/>
  <cols>
    <col min="10" max="10" width="11.46484375" customWidth="1"/>
    <col min="35" max="36" width="8.73046875" style="3"/>
    <col min="37" max="37" width="9" style="3" customWidth="1"/>
  </cols>
  <sheetData>
    <row r="1" spans="1:3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</v>
      </c>
      <c r="R1" s="1" t="s">
        <v>2</v>
      </c>
      <c r="S1" s="1" t="s">
        <v>3</v>
      </c>
      <c r="T1" s="1" t="s">
        <v>4</v>
      </c>
      <c r="U1" s="1" t="s">
        <v>5</v>
      </c>
      <c r="V1" s="1" t="s">
        <v>6</v>
      </c>
      <c r="W1" s="1" t="s">
        <v>10</v>
      </c>
      <c r="X1" s="1" t="s">
        <v>11</v>
      </c>
      <c r="Y1" s="1" t="s">
        <v>12</v>
      </c>
      <c r="Z1" s="1" t="s">
        <v>13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19</v>
      </c>
      <c r="AG1" s="1" t="s">
        <v>20</v>
      </c>
      <c r="AH1" s="1" t="s">
        <v>21</v>
      </c>
      <c r="AI1" s="2" t="s">
        <v>22</v>
      </c>
      <c r="AJ1" s="2" t="s">
        <v>23</v>
      </c>
      <c r="AK1" s="2" t="s">
        <v>24</v>
      </c>
    </row>
    <row r="2" spans="1:37" x14ac:dyDescent="0.45">
      <c r="A2">
        <v>1</v>
      </c>
      <c r="B2">
        <v>36.882480621337798</v>
      </c>
      <c r="C2">
        <v>-3.0092399120330802</v>
      </c>
      <c r="D2">
        <v>22.762199401855401</v>
      </c>
      <c r="E2">
        <v>12.8085594177246</v>
      </c>
      <c r="F2">
        <v>11.496839523315399</v>
      </c>
      <c r="G2">
        <v>3.85800004005432</v>
      </c>
      <c r="H2" t="s">
        <v>27</v>
      </c>
      <c r="I2">
        <v>52.631999999999998</v>
      </c>
      <c r="J2">
        <v>10.526</v>
      </c>
      <c r="K2">
        <v>1.0149742364883401</v>
      </c>
      <c r="L2">
        <v>-7.7147192236590296</v>
      </c>
      <c r="M2">
        <v>1.0441545248031601</v>
      </c>
      <c r="N2">
        <v>-11.394707358972401</v>
      </c>
      <c r="O2">
        <v>1.0263808965682899</v>
      </c>
      <c r="P2">
        <v>1.0263808965682899</v>
      </c>
      <c r="Q2" s="1">
        <v>35.790187835693303</v>
      </c>
      <c r="R2" s="1">
        <v>-2.7766978740692099</v>
      </c>
      <c r="S2" s="1">
        <v>22.1314983367919</v>
      </c>
      <c r="T2" s="1">
        <v>11.6143436431884</v>
      </c>
      <c r="U2" s="1">
        <v>11.091074943542401</v>
      </c>
      <c r="V2" s="1">
        <v>3.3877990245818999</v>
      </c>
      <c r="W2" s="1">
        <v>0.98796874284744196</v>
      </c>
      <c r="X2" s="1">
        <v>-7.2451292000779501</v>
      </c>
      <c r="Y2" s="1">
        <v>1.01675152778625</v>
      </c>
      <c r="Z2" s="1">
        <v>-10.8617348869022</v>
      </c>
      <c r="AA2" s="1">
        <v>0.99202787876129095</v>
      </c>
      <c r="AB2" s="1">
        <v>-11.4235299037411</v>
      </c>
      <c r="AC2" s="1">
        <v>-52.631996154785099</v>
      </c>
      <c r="AD2" s="1">
        <v>-10.5260000228881</v>
      </c>
      <c r="AE2" s="1">
        <v>-10.5260000228881</v>
      </c>
      <c r="AF2" s="1">
        <f>Q2-B2</f>
        <v>-1.0922927856444957</v>
      </c>
      <c r="AG2" s="1">
        <f>S2-D2</f>
        <v>-0.63070106506350143</v>
      </c>
      <c r="AH2" s="1">
        <f>U2-F2</f>
        <v>-0.40576457977299896</v>
      </c>
      <c r="AI2" s="2">
        <f>AF2/B2</f>
        <v>-2.961549134557306E-2</v>
      </c>
      <c r="AJ2" s="2">
        <f>AG2/D2</f>
        <v>-2.7708265529564402E-2</v>
      </c>
      <c r="AK2" s="2">
        <f>AH2/F2</f>
        <v>-3.5293576025838679E-2</v>
      </c>
    </row>
    <row r="3" spans="1:37" x14ac:dyDescent="0.45">
      <c r="A3">
        <v>2</v>
      </c>
      <c r="B3">
        <v>35.931259155273402</v>
      </c>
      <c r="C3">
        <v>-2.93162989616394</v>
      </c>
      <c r="D3">
        <v>22.1751499176025</v>
      </c>
      <c r="E3">
        <v>12.4782199859619</v>
      </c>
      <c r="F3">
        <v>11.200329780578601</v>
      </c>
      <c r="G3">
        <v>3.75850009918212</v>
      </c>
      <c r="H3" t="s">
        <v>27</v>
      </c>
      <c r="I3">
        <v>52.631999999999998</v>
      </c>
      <c r="J3">
        <v>10.526</v>
      </c>
      <c r="K3">
        <v>1.0156829357147199</v>
      </c>
      <c r="L3">
        <v>-7.4793466339918897</v>
      </c>
      <c r="M3">
        <v>1.0451024770736601</v>
      </c>
      <c r="N3">
        <v>-11.0650679126742</v>
      </c>
      <c r="O3">
        <v>1.0275118350982599</v>
      </c>
      <c r="P3">
        <v>1.0275118350982599</v>
      </c>
      <c r="Q3" s="1">
        <v>34.868198394775298</v>
      </c>
      <c r="R3" s="1">
        <v>-2.70560622215271</v>
      </c>
      <c r="S3" s="1">
        <v>21.560977935791001</v>
      </c>
      <c r="T3" s="1">
        <v>11.317028045654199</v>
      </c>
      <c r="U3" s="1">
        <v>10.8053340911865</v>
      </c>
      <c r="V3" s="1">
        <v>3.30165362358093</v>
      </c>
      <c r="W3" s="1">
        <v>0.98870354890823298</v>
      </c>
      <c r="X3" s="1">
        <v>-7.0089468061004503</v>
      </c>
      <c r="Y3" s="1">
        <v>1.0176875591278001</v>
      </c>
      <c r="Z3" s="1">
        <v>-10.529501676244699</v>
      </c>
      <c r="AA3" s="1">
        <v>0.99314934015274003</v>
      </c>
      <c r="AB3" s="1">
        <v>-11.064594922070199</v>
      </c>
      <c r="AC3" s="1">
        <v>-52.631996154785099</v>
      </c>
      <c r="AD3" s="1">
        <v>-10.5260000228881</v>
      </c>
      <c r="AE3" s="1">
        <v>-10.5260000228881</v>
      </c>
      <c r="AF3" s="1">
        <f t="shared" ref="AF3:AF25" si="0">Q3-B3</f>
        <v>-1.0630607604981037</v>
      </c>
      <c r="AG3" s="1">
        <f t="shared" ref="AG3:AG25" si="1">S3-D3</f>
        <v>-0.61417198181149857</v>
      </c>
      <c r="AH3" s="1">
        <f t="shared" ref="AH3:AH25" si="2">U3-F3</f>
        <v>-0.3949956893921005</v>
      </c>
      <c r="AI3" s="2">
        <f t="shared" ref="AI3:AI25" si="3">AF3/B3</f>
        <v>-2.9585959008677967E-2</v>
      </c>
      <c r="AJ3" s="2">
        <f t="shared" ref="AJ3:AJ25" si="4">AG3/D3</f>
        <v>-2.7696407198761375E-2</v>
      </c>
      <c r="AK3" s="2">
        <f t="shared" ref="AK3:AK25" si="5">AH3/F3</f>
        <v>-3.5266433857780152E-2</v>
      </c>
    </row>
    <row r="4" spans="1:37" x14ac:dyDescent="0.45">
      <c r="A4">
        <v>3</v>
      </c>
      <c r="B4">
        <v>35.405460357666001</v>
      </c>
      <c r="C4">
        <v>-2.8887300491332999</v>
      </c>
      <c r="D4">
        <v>21.850650787353501</v>
      </c>
      <c r="E4">
        <v>12.2956199645996</v>
      </c>
      <c r="F4">
        <v>11.036430358886699</v>
      </c>
      <c r="G4">
        <v>3.7035000324249201</v>
      </c>
      <c r="H4" t="s">
        <v>27</v>
      </c>
      <c r="I4">
        <v>52.631999999999998</v>
      </c>
      <c r="J4">
        <v>10.526</v>
      </c>
      <c r="K4">
        <v>1.0159664154052701</v>
      </c>
      <c r="L4">
        <v>-7.34929129335314</v>
      </c>
      <c r="M4">
        <v>1.0455784797668399</v>
      </c>
      <c r="N4">
        <v>-10.8831091103178</v>
      </c>
      <c r="O4">
        <v>1.0281058549880899</v>
      </c>
      <c r="P4">
        <v>1.0281058549880899</v>
      </c>
      <c r="Q4" s="1">
        <v>34.362007141113203</v>
      </c>
      <c r="R4" s="1">
        <v>-2.6670758724212602</v>
      </c>
      <c r="S4" s="1">
        <v>21.2464904785156</v>
      </c>
      <c r="T4" s="1">
        <v>11.1541900634765</v>
      </c>
      <c r="U4" s="1">
        <v>10.647655487060501</v>
      </c>
      <c r="V4" s="1">
        <v>3.2542924880981401</v>
      </c>
      <c r="W4" s="1">
        <v>0.98910278081893899</v>
      </c>
      <c r="X4" s="1">
        <v>-6.8790246541516398</v>
      </c>
      <c r="Y4" s="1">
        <v>1.0181982517242401</v>
      </c>
      <c r="Z4" s="1">
        <v>-10.3467104445761</v>
      </c>
      <c r="AA4" s="1">
        <v>0.993763446807861</v>
      </c>
      <c r="AB4" s="1">
        <v>-10.867111953372</v>
      </c>
      <c r="AC4" s="1">
        <v>-52.631996154785099</v>
      </c>
      <c r="AD4" s="1">
        <v>-10.5260000228881</v>
      </c>
      <c r="AE4" s="1">
        <v>-10.5260000228881</v>
      </c>
      <c r="AF4" s="1">
        <f t="shared" si="0"/>
        <v>-1.0434532165527983</v>
      </c>
      <c r="AG4" s="1">
        <f t="shared" si="1"/>
        <v>-0.60416030883790128</v>
      </c>
      <c r="AH4" s="1">
        <f t="shared" si="2"/>
        <v>-0.38877487182619852</v>
      </c>
      <c r="AI4" s="2">
        <f t="shared" si="3"/>
        <v>-2.9471533656442613E-2</v>
      </c>
      <c r="AJ4" s="2">
        <f t="shared" si="4"/>
        <v>-2.7649533861369983E-2</v>
      </c>
      <c r="AK4" s="2">
        <f t="shared" si="5"/>
        <v>-3.5226505236192709E-2</v>
      </c>
    </row>
    <row r="5" spans="1:37" x14ac:dyDescent="0.45">
      <c r="A5">
        <v>4</v>
      </c>
      <c r="B5">
        <v>35.362438201904297</v>
      </c>
      <c r="C5">
        <v>-2.88522005081176</v>
      </c>
      <c r="D5">
        <v>21.824100494384702</v>
      </c>
      <c r="E5">
        <v>12.2806797027587</v>
      </c>
      <c r="F5">
        <v>11.0230197906494</v>
      </c>
      <c r="G5">
        <v>3.6989998817443799</v>
      </c>
      <c r="H5" t="s">
        <v>27</v>
      </c>
      <c r="I5">
        <v>52.631999999999998</v>
      </c>
      <c r="J5">
        <v>10.526</v>
      </c>
      <c r="K5">
        <v>1.0159894227981501</v>
      </c>
      <c r="L5">
        <v>-7.3386566887250497</v>
      </c>
      <c r="M5">
        <v>1.0456173419952299</v>
      </c>
      <c r="N5">
        <v>-10.868230396858101</v>
      </c>
      <c r="O5">
        <v>1.02815449237823</v>
      </c>
      <c r="P5">
        <v>1.02815449237823</v>
      </c>
      <c r="Q5" s="1">
        <v>34.320579528808501</v>
      </c>
      <c r="R5" s="1">
        <v>-2.6639220714568999</v>
      </c>
      <c r="S5" s="1">
        <v>21.220758438110298</v>
      </c>
      <c r="T5" s="1">
        <v>11.1408672332763</v>
      </c>
      <c r="U5" s="1">
        <v>10.634752273559499</v>
      </c>
      <c r="V5" s="1">
        <v>3.25041556358337</v>
      </c>
      <c r="W5" s="1">
        <v>0.98913532495498602</v>
      </c>
      <c r="X5" s="1">
        <v>-6.8684037099020099</v>
      </c>
      <c r="Y5" s="1">
        <v>1.0182399749755799</v>
      </c>
      <c r="Z5" s="1">
        <v>-10.3317668443188</v>
      </c>
      <c r="AA5" s="1">
        <v>0.99381363391876198</v>
      </c>
      <c r="AB5" s="1">
        <v>-10.8509662398105</v>
      </c>
      <c r="AC5" s="1">
        <v>-52.631996154785099</v>
      </c>
      <c r="AD5" s="1">
        <v>-10.5260000228881</v>
      </c>
      <c r="AE5" s="1">
        <v>-10.5260000228881</v>
      </c>
      <c r="AF5" s="1">
        <f t="shared" si="0"/>
        <v>-1.0418586730957955</v>
      </c>
      <c r="AG5" s="1">
        <f t="shared" si="1"/>
        <v>-0.6033420562744034</v>
      </c>
      <c r="AH5" s="1">
        <f t="shared" si="2"/>
        <v>-0.38826751708990059</v>
      </c>
      <c r="AI5" s="2">
        <f t="shared" si="3"/>
        <v>-2.9462297456618547E-2</v>
      </c>
      <c r="AJ5" s="2">
        <f t="shared" si="4"/>
        <v>-2.7645678062637319E-2</v>
      </c>
      <c r="AK5" s="2">
        <f t="shared" si="5"/>
        <v>-3.5223334845072118E-2</v>
      </c>
    </row>
    <row r="6" spans="1:37" x14ac:dyDescent="0.45">
      <c r="A6">
        <v>5</v>
      </c>
      <c r="B6">
        <v>36.151138305663999</v>
      </c>
      <c r="C6">
        <v>-2.9495699405670099</v>
      </c>
      <c r="D6">
        <v>22.310850143432599</v>
      </c>
      <c r="E6">
        <v>12.5545797348022</v>
      </c>
      <c r="F6">
        <v>11.2688703536987</v>
      </c>
      <c r="G6">
        <v>3.78150010108947</v>
      </c>
      <c r="H6" t="s">
        <v>27</v>
      </c>
      <c r="I6">
        <v>52.631999999999998</v>
      </c>
      <c r="J6">
        <v>10.526</v>
      </c>
      <c r="K6">
        <v>1.0155328512191699</v>
      </c>
      <c r="L6">
        <v>-7.5337294543993396</v>
      </c>
      <c r="M6">
        <v>1.04488956928253</v>
      </c>
      <c r="N6">
        <v>-11.1412134235095</v>
      </c>
      <c r="O6">
        <v>1.02725434303283</v>
      </c>
      <c r="P6">
        <v>1.02725434303283</v>
      </c>
      <c r="Q6" s="1">
        <v>35.080886840820298</v>
      </c>
      <c r="R6" s="1">
        <v>-2.7219436168670601</v>
      </c>
      <c r="S6" s="1">
        <v>21.692745208740199</v>
      </c>
      <c r="T6" s="1">
        <v>11.3855695724487</v>
      </c>
      <c r="U6" s="1">
        <v>10.871354103088301</v>
      </c>
      <c r="V6" s="1">
        <v>3.3215382099151598</v>
      </c>
      <c r="W6" s="1">
        <v>0.98853492736816395</v>
      </c>
      <c r="X6" s="1">
        <v>-7.06343506755411</v>
      </c>
      <c r="Y6" s="1">
        <v>1.01747226715087</v>
      </c>
      <c r="Z6" s="1">
        <v>-10.606150059761999</v>
      </c>
      <c r="AA6" s="1">
        <v>0.99289107322692804</v>
      </c>
      <c r="AB6" s="1">
        <v>-11.1473998674029</v>
      </c>
      <c r="AC6" s="1">
        <v>-52.631996154785099</v>
      </c>
      <c r="AD6" s="1">
        <v>-10.5260000228881</v>
      </c>
      <c r="AE6" s="1">
        <v>-10.5260000228881</v>
      </c>
      <c r="AF6" s="1">
        <f t="shared" si="0"/>
        <v>-1.0702514648437003</v>
      </c>
      <c r="AG6" s="1">
        <f t="shared" si="1"/>
        <v>-0.61810493469240058</v>
      </c>
      <c r="AH6" s="1">
        <f t="shared" si="2"/>
        <v>-0.39751625061039952</v>
      </c>
      <c r="AI6" s="2">
        <f t="shared" si="3"/>
        <v>-2.9604917438409348E-2</v>
      </c>
      <c r="AJ6" s="2">
        <f t="shared" si="4"/>
        <v>-2.7704230485109747E-2</v>
      </c>
      <c r="AK6" s="2">
        <f t="shared" si="5"/>
        <v>-3.5275607770207919E-2</v>
      </c>
    </row>
    <row r="7" spans="1:37" x14ac:dyDescent="0.45">
      <c r="A7">
        <v>6</v>
      </c>
      <c r="B7">
        <v>38.173080444335902</v>
      </c>
      <c r="C7">
        <v>-3.11454010009765</v>
      </c>
      <c r="D7">
        <v>23.558700561523398</v>
      </c>
      <c r="E7">
        <v>13.2567596435546</v>
      </c>
      <c r="F7">
        <v>11.899140357971101</v>
      </c>
      <c r="G7">
        <v>3.9930000305175701</v>
      </c>
      <c r="H7" t="s">
        <v>27</v>
      </c>
      <c r="I7">
        <v>52.631999999999998</v>
      </c>
      <c r="J7">
        <v>10.526</v>
      </c>
      <c r="K7">
        <v>1.0139729976653999</v>
      </c>
      <c r="L7">
        <v>-8.0353658720648298</v>
      </c>
      <c r="M7">
        <v>1.04284560680389</v>
      </c>
      <c r="N7">
        <v>-11.843828159210601</v>
      </c>
      <c r="O7">
        <v>1.0248292684555</v>
      </c>
      <c r="P7">
        <v>1.0248292684555</v>
      </c>
      <c r="Q7" s="1">
        <v>37.041900634765597</v>
      </c>
      <c r="R7" s="1">
        <v>-2.8732991218566801</v>
      </c>
      <c r="S7" s="1">
        <v>22.905796051025298</v>
      </c>
      <c r="T7" s="1">
        <v>12.017940521240201</v>
      </c>
      <c r="U7" s="1">
        <v>11.478827476501399</v>
      </c>
      <c r="V7" s="1">
        <v>3.5046498775482098</v>
      </c>
      <c r="W7" s="1">
        <v>0.98695582151412897</v>
      </c>
      <c r="X7" s="1">
        <v>-7.5668165985673603</v>
      </c>
      <c r="Y7" s="1">
        <v>1.01546967029571</v>
      </c>
      <c r="Z7" s="1">
        <v>-11.3141606449532</v>
      </c>
      <c r="AA7" s="1">
        <v>0.99049699306488004</v>
      </c>
      <c r="AB7" s="1">
        <v>-11.9122973911273</v>
      </c>
      <c r="AC7" s="1">
        <v>-52.631996154785099</v>
      </c>
      <c r="AD7" s="1">
        <v>-10.5260000228881</v>
      </c>
      <c r="AE7" s="1">
        <v>-10.5260000228881</v>
      </c>
      <c r="AF7" s="1">
        <f t="shared" si="0"/>
        <v>-1.1311798095703054</v>
      </c>
      <c r="AG7" s="1">
        <f t="shared" si="1"/>
        <v>-0.65290451049810017</v>
      </c>
      <c r="AH7" s="1">
        <f t="shared" si="2"/>
        <v>-0.42031288146970169</v>
      </c>
      <c r="AI7" s="2">
        <f t="shared" si="3"/>
        <v>-2.9632919230078776E-2</v>
      </c>
      <c r="AJ7" s="2">
        <f t="shared" si="4"/>
        <v>-2.7713944102861026E-2</v>
      </c>
      <c r="AK7" s="2">
        <f t="shared" si="5"/>
        <v>-3.5322961896834738E-2</v>
      </c>
    </row>
    <row r="8" spans="1:37" x14ac:dyDescent="0.45">
      <c r="A8">
        <v>7</v>
      </c>
      <c r="B8">
        <v>41.232280731201101</v>
      </c>
      <c r="C8">
        <v>-3.3641402721404998</v>
      </c>
      <c r="D8">
        <v>25.446697235107401</v>
      </c>
      <c r="E8">
        <v>14.3191604614257</v>
      </c>
      <c r="F8">
        <v>12.8527402877807</v>
      </c>
      <c r="G8">
        <v>4.3130002021789497</v>
      </c>
      <c r="H8" t="s">
        <v>27</v>
      </c>
      <c r="I8">
        <v>52.631999999999998</v>
      </c>
      <c r="J8">
        <v>10.526</v>
      </c>
      <c r="K8">
        <v>1.0115343332290601</v>
      </c>
      <c r="L8">
        <v>-8.80070735808909</v>
      </c>
      <c r="M8">
        <v>1.03969419002532</v>
      </c>
      <c r="N8">
        <v>-12.9156137689146</v>
      </c>
      <c r="O8">
        <v>1.0211113691329901</v>
      </c>
      <c r="P8">
        <v>1.0211113691329901</v>
      </c>
      <c r="Q8" s="1">
        <v>39.966106414794901</v>
      </c>
      <c r="R8" s="1">
        <v>-3.0919499397277801</v>
      </c>
      <c r="S8" s="1">
        <v>24.729944229125898</v>
      </c>
      <c r="T8" s="1">
        <v>12.9525918960571</v>
      </c>
      <c r="U8" s="1">
        <v>12.3942422866821</v>
      </c>
      <c r="V8" s="1">
        <v>3.7769238948821999</v>
      </c>
      <c r="W8" s="1">
        <v>0.98342871665954501</v>
      </c>
      <c r="X8" s="1">
        <v>-8.3245731594538697</v>
      </c>
      <c r="Y8" s="1">
        <v>1.0119501352310101</v>
      </c>
      <c r="Z8" s="1">
        <v>-12.3857763537001</v>
      </c>
      <c r="AA8" s="1">
        <v>0.98655784130096402</v>
      </c>
      <c r="AB8" s="1">
        <v>-13.0737710693585</v>
      </c>
      <c r="AC8" s="1">
        <v>-52.631996154785099</v>
      </c>
      <c r="AD8" s="1">
        <v>-10.5260000228881</v>
      </c>
      <c r="AE8" s="1">
        <v>-10.5260000228881</v>
      </c>
      <c r="AF8" s="1">
        <f t="shared" si="0"/>
        <v>-1.2661743164062003</v>
      </c>
      <c r="AG8" s="1">
        <f t="shared" si="1"/>
        <v>-0.71675300598150216</v>
      </c>
      <c r="AH8" s="1">
        <f t="shared" si="2"/>
        <v>-0.45849800109859906</v>
      </c>
      <c r="AI8" s="2">
        <f t="shared" si="3"/>
        <v>-3.0708325951226526E-2</v>
      </c>
      <c r="AJ8" s="2">
        <f t="shared" si="4"/>
        <v>-2.8166838287863843E-2</v>
      </c>
      <c r="AK8" s="2">
        <f t="shared" si="5"/>
        <v>-3.5673170921729454E-2</v>
      </c>
    </row>
    <row r="9" spans="1:37" x14ac:dyDescent="0.45">
      <c r="A9">
        <v>8</v>
      </c>
      <c r="B9">
        <v>43.3020210266113</v>
      </c>
      <c r="C9">
        <v>-3.5330102443695002</v>
      </c>
      <c r="D9">
        <v>26.7240486145019</v>
      </c>
      <c r="E9">
        <v>15.037940025329499</v>
      </c>
      <c r="F9">
        <v>13.4979095458984</v>
      </c>
      <c r="G9">
        <v>4.5295000076293901</v>
      </c>
      <c r="H9" t="s">
        <v>27</v>
      </c>
      <c r="I9">
        <v>52.579367999999903</v>
      </c>
      <c r="J9">
        <v>10.515473999999999</v>
      </c>
      <c r="K9">
        <v>1.0098292827606199</v>
      </c>
      <c r="L9">
        <v>-9.3230657160988404</v>
      </c>
      <c r="M9">
        <v>1.0375211238861</v>
      </c>
      <c r="N9">
        <v>-13.6469887239077</v>
      </c>
      <c r="O9">
        <v>1.0185617208480799</v>
      </c>
      <c r="P9">
        <v>1.0185617208480799</v>
      </c>
      <c r="Q9" s="1">
        <v>41.906929016113203</v>
      </c>
      <c r="R9" s="1">
        <v>-3.2307610511779701</v>
      </c>
      <c r="S9" s="1">
        <v>25.954732894897401</v>
      </c>
      <c r="T9" s="1">
        <v>13.5663795471191</v>
      </c>
      <c r="U9" s="1">
        <v>13.010764122009199</v>
      </c>
      <c r="V9" s="1">
        <v>3.95747542381286</v>
      </c>
      <c r="W9" s="1">
        <v>0.980185866355896</v>
      </c>
      <c r="X9" s="1">
        <v>-8.8349633183887608</v>
      </c>
      <c r="Y9" s="1">
        <v>1.00922119617462</v>
      </c>
      <c r="Z9" s="1">
        <v>-13.112211374334001</v>
      </c>
      <c r="AA9" s="1">
        <v>0.98368638753890902</v>
      </c>
      <c r="AB9" s="1">
        <v>-13.864268142309699</v>
      </c>
      <c r="AC9" s="1">
        <v>-52.579368591308501</v>
      </c>
      <c r="AD9" s="1">
        <v>-10.515474319458001</v>
      </c>
      <c r="AE9" s="1">
        <v>-10.515474319458001</v>
      </c>
      <c r="AF9" s="1">
        <f t="shared" si="0"/>
        <v>-1.3950920104980966</v>
      </c>
      <c r="AG9" s="1">
        <f t="shared" si="1"/>
        <v>-0.76931571960449929</v>
      </c>
      <c r="AH9" s="1">
        <f t="shared" si="2"/>
        <v>-0.48714542388920101</v>
      </c>
      <c r="AI9" s="2">
        <f t="shared" si="3"/>
        <v>-3.2217711262038817E-2</v>
      </c>
      <c r="AJ9" s="2">
        <f t="shared" si="4"/>
        <v>-2.8787394107157378E-2</v>
      </c>
      <c r="AK9" s="2">
        <f t="shared" si="5"/>
        <v>-3.6090434761968715E-2</v>
      </c>
    </row>
    <row r="10" spans="1:37" x14ac:dyDescent="0.45">
      <c r="A10">
        <v>9</v>
      </c>
      <c r="B10">
        <v>43.885181427001903</v>
      </c>
      <c r="C10">
        <v>-3.5805900096893302</v>
      </c>
      <c r="D10">
        <v>27.0839519500732</v>
      </c>
      <c r="E10">
        <v>15.240460395812899</v>
      </c>
      <c r="F10">
        <v>13.679690361022899</v>
      </c>
      <c r="G10">
        <v>4.5904998779296804</v>
      </c>
      <c r="H10" t="s">
        <v>27</v>
      </c>
      <c r="I10">
        <v>52.053047999999997</v>
      </c>
      <c r="J10">
        <v>10.410214</v>
      </c>
      <c r="K10">
        <v>1.0093407630920399</v>
      </c>
      <c r="L10">
        <v>-9.4709324826970693</v>
      </c>
      <c r="M10">
        <v>1.0369025468826201</v>
      </c>
      <c r="N10">
        <v>-13.8540040754473</v>
      </c>
      <c r="O10">
        <v>1.01783812046051</v>
      </c>
      <c r="P10">
        <v>1.01783812046051</v>
      </c>
      <c r="Q10" s="1">
        <v>42.467353820800703</v>
      </c>
      <c r="R10" s="1">
        <v>-3.2730743885040199</v>
      </c>
      <c r="S10" s="1">
        <v>26.3078804016113</v>
      </c>
      <c r="T10" s="1">
        <v>13.754396438598601</v>
      </c>
      <c r="U10" s="1">
        <v>13.189504623413001</v>
      </c>
      <c r="V10" s="1">
        <v>4.0141029357910103</v>
      </c>
      <c r="W10" s="1">
        <v>0.97960823774337702</v>
      </c>
      <c r="X10" s="1">
        <v>-8.9847647360858307</v>
      </c>
      <c r="Y10" s="1">
        <v>1.00874960422515</v>
      </c>
      <c r="Z10" s="1">
        <v>-13.32357243377</v>
      </c>
      <c r="AA10" s="1">
        <v>0.98323529958724898</v>
      </c>
      <c r="AB10" s="1">
        <v>-14.096476646817001</v>
      </c>
      <c r="AC10" s="1">
        <v>-52.053047180175703</v>
      </c>
      <c r="AD10" s="1">
        <v>-10.410214424133301</v>
      </c>
      <c r="AE10" s="1">
        <v>-10.410214424133301</v>
      </c>
      <c r="AF10" s="1">
        <f t="shared" si="0"/>
        <v>-1.4178276062012003</v>
      </c>
      <c r="AG10" s="1">
        <f t="shared" si="1"/>
        <v>-0.77607154846189985</v>
      </c>
      <c r="AH10" s="1">
        <f t="shared" si="2"/>
        <v>-0.49018573760989881</v>
      </c>
      <c r="AI10" s="2">
        <f t="shared" si="3"/>
        <v>-3.230766195098448E-2</v>
      </c>
      <c r="AJ10" s="2">
        <f t="shared" si="4"/>
        <v>-2.8654294982228483E-2</v>
      </c>
      <c r="AK10" s="2">
        <f t="shared" si="5"/>
        <v>-3.5833101822726136E-2</v>
      </c>
    </row>
    <row r="11" spans="1:37" x14ac:dyDescent="0.45">
      <c r="A11">
        <v>10</v>
      </c>
      <c r="B11">
        <v>44.119400024413999</v>
      </c>
      <c r="C11">
        <v>-3.5996999740600502</v>
      </c>
      <c r="D11">
        <v>27.228502273559499</v>
      </c>
      <c r="E11">
        <v>15.3218002319335</v>
      </c>
      <c r="F11">
        <v>13.752700805664</v>
      </c>
      <c r="G11">
        <v>4.6149997711181596</v>
      </c>
      <c r="H11" t="s">
        <v>27</v>
      </c>
      <c r="I11">
        <v>50.947775999999998</v>
      </c>
      <c r="J11">
        <v>10.189167999999899</v>
      </c>
      <c r="K11">
        <v>1.00914347171783</v>
      </c>
      <c r="L11">
        <v>-9.5304089167213402</v>
      </c>
      <c r="M11">
        <v>1.03665339946746</v>
      </c>
      <c r="N11">
        <v>-13.9372674972319</v>
      </c>
      <c r="O11">
        <v>1.0175470113754199</v>
      </c>
      <c r="P11">
        <v>1.0175470113754199</v>
      </c>
      <c r="Q11" s="1">
        <v>42.718517303466797</v>
      </c>
      <c r="R11" s="1">
        <v>-3.2962844371795601</v>
      </c>
      <c r="S11" s="1">
        <v>26.464429855346602</v>
      </c>
      <c r="T11" s="1">
        <v>13.8577480316162</v>
      </c>
      <c r="U11" s="1">
        <v>13.2703390121459</v>
      </c>
      <c r="V11" s="1">
        <v>4.0473213195800701</v>
      </c>
      <c r="W11" s="1">
        <v>0.97998255491256703</v>
      </c>
      <c r="X11" s="1">
        <v>-9.0539852888175805</v>
      </c>
      <c r="Y11" s="1">
        <v>1.0090900659561099</v>
      </c>
      <c r="Z11" s="1">
        <v>-13.418095422497</v>
      </c>
      <c r="AA11" s="1">
        <v>0.98368769884109497</v>
      </c>
      <c r="AB11" s="1">
        <v>-14.204070910179301</v>
      </c>
      <c r="AC11" s="1">
        <v>-50.947780609130803</v>
      </c>
      <c r="AD11" s="1">
        <v>-10.1891679763793</v>
      </c>
      <c r="AE11" s="1">
        <v>-10.1891679763793</v>
      </c>
      <c r="AF11" s="1">
        <f t="shared" si="0"/>
        <v>-1.4008827209472017</v>
      </c>
      <c r="AG11" s="1">
        <f t="shared" si="1"/>
        <v>-0.76407241821289773</v>
      </c>
      <c r="AH11" s="1">
        <f t="shared" si="2"/>
        <v>-0.48236179351810016</v>
      </c>
      <c r="AI11" s="2">
        <f t="shared" si="3"/>
        <v>-3.1752080041251837E-2</v>
      </c>
      <c r="AJ11" s="2">
        <f t="shared" si="4"/>
        <v>-2.8061492715846424E-2</v>
      </c>
      <c r="AK11" s="2">
        <f t="shared" si="5"/>
        <v>-3.5073968403314726E-2</v>
      </c>
    </row>
    <row r="12" spans="1:37" x14ac:dyDescent="0.45">
      <c r="A12">
        <v>11</v>
      </c>
      <c r="B12">
        <v>44.267578125</v>
      </c>
      <c r="C12">
        <v>-3.61178994178771</v>
      </c>
      <c r="D12">
        <v>27.319950103759702</v>
      </c>
      <c r="E12">
        <v>15.3732595443725</v>
      </c>
      <c r="F12">
        <v>13.7988891601562</v>
      </c>
      <c r="G12">
        <v>4.6304998397827104</v>
      </c>
      <c r="H12" t="s">
        <v>27</v>
      </c>
      <c r="I12">
        <v>49.789871999999903</v>
      </c>
      <c r="J12">
        <v>9.9575959999999899</v>
      </c>
      <c r="K12">
        <v>1.0090184211730899</v>
      </c>
      <c r="L12">
        <v>-9.5680620423883198</v>
      </c>
      <c r="M12">
        <v>1.0364956855773899</v>
      </c>
      <c r="N12">
        <v>-13.9899794825994</v>
      </c>
      <c r="O12">
        <v>1.01736259460449</v>
      </c>
      <c r="P12">
        <v>1.01736259460449</v>
      </c>
      <c r="Q12" s="1">
        <v>42.890968322753899</v>
      </c>
      <c r="R12" s="1">
        <v>-3.3141996860504102</v>
      </c>
      <c r="S12" s="1">
        <v>26.571098327636701</v>
      </c>
      <c r="T12" s="1">
        <v>13.9376010894775</v>
      </c>
      <c r="U12" s="1">
        <v>13.3261623382568</v>
      </c>
      <c r="V12" s="1">
        <v>4.0737824440002397</v>
      </c>
      <c r="W12" s="1">
        <v>0.98052966594696001</v>
      </c>
      <c r="X12" s="1">
        <v>-9.1023934011977907</v>
      </c>
      <c r="Y12" s="1">
        <v>1.00957667827606</v>
      </c>
      <c r="Z12" s="1">
        <v>-13.4827926824125</v>
      </c>
      <c r="AA12" s="1">
        <v>0.98429775238037098</v>
      </c>
      <c r="AB12" s="1">
        <v>-14.279436071895301</v>
      </c>
      <c r="AC12" s="1">
        <v>-49.789871215820298</v>
      </c>
      <c r="AD12" s="1">
        <v>-9.9575958251953107</v>
      </c>
      <c r="AE12" s="1">
        <v>-9.9575958251953107</v>
      </c>
      <c r="AF12" s="1">
        <f t="shared" si="0"/>
        <v>-1.3766098022461009</v>
      </c>
      <c r="AG12" s="1">
        <f t="shared" si="1"/>
        <v>-0.74885177612300069</v>
      </c>
      <c r="AH12" s="1">
        <f t="shared" si="2"/>
        <v>-0.47272682189939985</v>
      </c>
      <c r="AI12" s="2">
        <f t="shared" si="3"/>
        <v>-3.1097472700198706E-2</v>
      </c>
      <c r="AJ12" s="2">
        <f t="shared" si="4"/>
        <v>-2.741043718157983E-2</v>
      </c>
      <c r="AK12" s="2">
        <f t="shared" si="5"/>
        <v>-3.4258324450085566E-2</v>
      </c>
    </row>
    <row r="13" spans="1:37" x14ac:dyDescent="0.45">
      <c r="A13">
        <v>12</v>
      </c>
      <c r="B13">
        <v>44.415760040283203</v>
      </c>
      <c r="C13">
        <v>-3.62388014793396</v>
      </c>
      <c r="D13">
        <v>27.411401748657202</v>
      </c>
      <c r="E13">
        <v>15.424719810485801</v>
      </c>
      <c r="F13">
        <v>13.8450803756713</v>
      </c>
      <c r="G13">
        <v>4.6459999084472603</v>
      </c>
      <c r="H13" t="s">
        <v>27</v>
      </c>
      <c r="I13">
        <v>49.158287999999999</v>
      </c>
      <c r="J13">
        <v>9.8312840000000001</v>
      </c>
      <c r="K13">
        <v>1.0088930130004801</v>
      </c>
      <c r="L13">
        <v>-9.6057365123966303</v>
      </c>
      <c r="M13">
        <v>1.03633749485015</v>
      </c>
      <c r="N13">
        <v>-14.042720496271199</v>
      </c>
      <c r="O13">
        <v>1.01717805862426</v>
      </c>
      <c r="P13">
        <v>1.01717805862426</v>
      </c>
      <c r="Q13" s="1">
        <v>43.048126220703097</v>
      </c>
      <c r="R13" s="1">
        <v>-3.3284704685211102</v>
      </c>
      <c r="S13" s="1">
        <v>26.669185638427699</v>
      </c>
      <c r="T13" s="1">
        <v>14.0012083053588</v>
      </c>
      <c r="U13" s="1">
        <v>13.3767185211181</v>
      </c>
      <c r="V13" s="1">
        <v>4.0941395759582502</v>
      </c>
      <c r="W13" s="1">
        <v>0.98071861267089799</v>
      </c>
      <c r="X13" s="1">
        <v>-9.1455499518352692</v>
      </c>
      <c r="Y13" s="1">
        <v>1.00975024700164</v>
      </c>
      <c r="Z13" s="1">
        <v>-13.5419233381071</v>
      </c>
      <c r="AA13" s="1">
        <v>0.98453414440154996</v>
      </c>
      <c r="AB13" s="1">
        <v>-14.346476086716001</v>
      </c>
      <c r="AC13" s="1">
        <v>-49.158287048339801</v>
      </c>
      <c r="AD13" s="1">
        <v>-9.8312835693359304</v>
      </c>
      <c r="AE13" s="1">
        <v>-9.8312835693359304</v>
      </c>
      <c r="AF13" s="1">
        <f t="shared" si="0"/>
        <v>-1.3676338195801065</v>
      </c>
      <c r="AG13" s="1">
        <f t="shared" si="1"/>
        <v>-0.74221611022950285</v>
      </c>
      <c r="AH13" s="1">
        <f t="shared" si="2"/>
        <v>-0.46836185455319956</v>
      </c>
      <c r="AI13" s="2">
        <f t="shared" si="3"/>
        <v>-3.0791633833119617E-2</v>
      </c>
      <c r="AJ13" s="2">
        <f t="shared" si="4"/>
        <v>-2.7076911900934131E-2</v>
      </c>
      <c r="AK13" s="2">
        <f t="shared" si="5"/>
        <v>-3.38287566301319E-2</v>
      </c>
    </row>
    <row r="14" spans="1:37" x14ac:dyDescent="0.45">
      <c r="A14">
        <v>13</v>
      </c>
      <c r="B14">
        <v>44.559158325195298</v>
      </c>
      <c r="C14">
        <v>-3.63558006286621</v>
      </c>
      <c r="D14">
        <v>27.499902725219702</v>
      </c>
      <c r="E14">
        <v>15.474518775939901</v>
      </c>
      <c r="F14">
        <v>13.889780998229901</v>
      </c>
      <c r="G14">
        <v>4.6609997749328604</v>
      </c>
      <c r="H14" t="s">
        <v>27</v>
      </c>
      <c r="I14">
        <v>49.842503999999998</v>
      </c>
      <c r="J14">
        <v>9.9681219999999993</v>
      </c>
      <c r="K14">
        <v>1.00877368450164</v>
      </c>
      <c r="L14">
        <v>-9.6421380058875599</v>
      </c>
      <c r="M14">
        <v>1.0361862182617101</v>
      </c>
      <c r="N14">
        <v>-14.093638703192701</v>
      </c>
      <c r="O14">
        <v>1.01700150966644</v>
      </c>
      <c r="P14">
        <v>1.01700150966644</v>
      </c>
      <c r="Q14" s="1">
        <v>43.162017822265597</v>
      </c>
      <c r="R14" s="1">
        <v>-3.3331706523895201</v>
      </c>
      <c r="S14" s="1">
        <v>26.742652893066399</v>
      </c>
      <c r="T14" s="1">
        <v>14.022100448608301</v>
      </c>
      <c r="U14" s="1">
        <v>13.412481307983301</v>
      </c>
      <c r="V14" s="1">
        <v>4.0985627174377397</v>
      </c>
      <c r="W14" s="1">
        <v>0.98002278804778997</v>
      </c>
      <c r="X14" s="1">
        <v>-9.1743639588674899</v>
      </c>
      <c r="Y14" s="1">
        <v>1.00915086269378</v>
      </c>
      <c r="Z14" s="1">
        <v>-13.5854162755641</v>
      </c>
      <c r="AA14" s="1">
        <v>0.98384636640548695</v>
      </c>
      <c r="AB14" s="1">
        <v>-14.390855241225299</v>
      </c>
      <c r="AC14" s="1">
        <v>-49.842502593994098</v>
      </c>
      <c r="AD14" s="1">
        <v>-9.9681215286254794</v>
      </c>
      <c r="AE14" s="1">
        <v>-9.9681215286254794</v>
      </c>
      <c r="AF14" s="1">
        <f t="shared" si="0"/>
        <v>-1.3971405029297017</v>
      </c>
      <c r="AG14" s="1">
        <f t="shared" si="1"/>
        <v>-0.75724983215330255</v>
      </c>
      <c r="AH14" s="1">
        <f t="shared" si="2"/>
        <v>-0.47729969024659979</v>
      </c>
      <c r="AI14" s="2">
        <f t="shared" si="3"/>
        <v>-3.135473279664059E-2</v>
      </c>
      <c r="AJ14" s="2">
        <f t="shared" si="4"/>
        <v>-2.7536454936578424E-2</v>
      </c>
      <c r="AK14" s="2">
        <f t="shared" si="5"/>
        <v>-3.4363370474122405E-2</v>
      </c>
    </row>
    <row r="15" spans="1:37" x14ac:dyDescent="0.45">
      <c r="A15">
        <v>14</v>
      </c>
      <c r="B15">
        <v>44.6356391906738</v>
      </c>
      <c r="C15">
        <v>-3.6418199539184499</v>
      </c>
      <c r="D15">
        <v>27.547100067138601</v>
      </c>
      <c r="E15">
        <v>15.5010786056518</v>
      </c>
      <c r="F15">
        <v>13.9136199951171</v>
      </c>
      <c r="G15">
        <v>4.6690001487731898</v>
      </c>
      <c r="H15" t="s">
        <v>27</v>
      </c>
      <c r="I15">
        <v>50.158295999999901</v>
      </c>
      <c r="J15">
        <v>10.031277999999901</v>
      </c>
      <c r="K15">
        <v>1.00870656967163</v>
      </c>
      <c r="L15">
        <v>-9.66167661594808</v>
      </c>
      <c r="M15">
        <v>1.0361027717590301</v>
      </c>
      <c r="N15">
        <v>-14.1210303233182</v>
      </c>
      <c r="O15">
        <v>1.0169038772582999</v>
      </c>
      <c r="P15">
        <v>1.0169038772582999</v>
      </c>
      <c r="Q15" s="1">
        <v>43.224285125732401</v>
      </c>
      <c r="R15" s="1">
        <v>-3.33603692054748</v>
      </c>
      <c r="S15" s="1">
        <v>26.782676696777301</v>
      </c>
      <c r="T15" s="1">
        <v>14.0348358154296</v>
      </c>
      <c r="U15" s="1">
        <v>13.4320764541625</v>
      </c>
      <c r="V15" s="1">
        <v>4.1015219688415501</v>
      </c>
      <c r="W15" s="1">
        <v>0.97968453168868996</v>
      </c>
      <c r="X15" s="1">
        <v>-9.1902526865592602</v>
      </c>
      <c r="Y15" s="1">
        <v>1.0088598728179901</v>
      </c>
      <c r="Z15" s="1">
        <v>-13.609183626530401</v>
      </c>
      <c r="AA15" s="1">
        <v>0.98351383209228505</v>
      </c>
      <c r="AB15" s="1">
        <v>-14.415351714891701</v>
      </c>
      <c r="AC15" s="1">
        <v>-50.158290863037102</v>
      </c>
      <c r="AD15" s="1">
        <v>-10.031277656555099</v>
      </c>
      <c r="AE15" s="1">
        <v>-10.031277656555099</v>
      </c>
      <c r="AF15" s="1">
        <f t="shared" si="0"/>
        <v>-1.4113540649413991</v>
      </c>
      <c r="AG15" s="1">
        <f t="shared" si="1"/>
        <v>-0.7644233703612997</v>
      </c>
      <c r="AH15" s="1">
        <f t="shared" si="2"/>
        <v>-0.4815435409546005</v>
      </c>
      <c r="AI15" s="2">
        <f t="shared" si="3"/>
        <v>-3.1619443353603602E-2</v>
      </c>
      <c r="AJ15" s="2">
        <f t="shared" si="4"/>
        <v>-2.7749685756330963E-2</v>
      </c>
      <c r="AK15" s="2">
        <f t="shared" si="5"/>
        <v>-3.4609507886775352E-2</v>
      </c>
    </row>
    <row r="16" spans="1:37" x14ac:dyDescent="0.45">
      <c r="A16">
        <v>15</v>
      </c>
      <c r="B16">
        <v>44.951118469238203</v>
      </c>
      <c r="C16">
        <v>-3.6675601005554199</v>
      </c>
      <c r="D16">
        <v>27.741802215576101</v>
      </c>
      <c r="E16">
        <v>15.6106395721435</v>
      </c>
      <c r="F16">
        <v>14.011960029601999</v>
      </c>
      <c r="G16">
        <v>4.7020001411437899</v>
      </c>
      <c r="H16" t="s">
        <v>27</v>
      </c>
      <c r="I16">
        <v>51.474095999999903</v>
      </c>
      <c r="J16">
        <v>10.294428</v>
      </c>
      <c r="K16">
        <v>1.0084382295608501</v>
      </c>
      <c r="L16">
        <v>-9.7420175705167598</v>
      </c>
      <c r="M16">
        <v>1.0357651710510201</v>
      </c>
      <c r="N16">
        <v>-14.233497926694699</v>
      </c>
      <c r="O16">
        <v>1.0165100097656199</v>
      </c>
      <c r="P16">
        <v>1.0165100097656199</v>
      </c>
      <c r="Q16" s="1">
        <v>43.479846954345703</v>
      </c>
      <c r="R16" s="1">
        <v>-3.3475570678710902</v>
      </c>
      <c r="S16" s="1">
        <v>26.9471435546875</v>
      </c>
      <c r="T16" s="1">
        <v>14.0861511230468</v>
      </c>
      <c r="U16" s="1">
        <v>13.512504577636699</v>
      </c>
      <c r="V16" s="1">
        <v>4.1132650375366202</v>
      </c>
      <c r="W16" s="1">
        <v>0.97827810049056996</v>
      </c>
      <c r="X16" s="1">
        <v>-9.2557123663473106</v>
      </c>
      <c r="Y16" s="1">
        <v>1.00765097141265</v>
      </c>
      <c r="Z16" s="1">
        <v>-13.707180620253601</v>
      </c>
      <c r="AA16" s="1">
        <v>0.98213189840316695</v>
      </c>
      <c r="AB16" s="1">
        <v>-14.516298496587799</v>
      </c>
      <c r="AC16" s="1">
        <v>-51.474094390869098</v>
      </c>
      <c r="AD16" s="1">
        <v>-10.2944278717041</v>
      </c>
      <c r="AE16" s="1">
        <v>-10.2944278717041</v>
      </c>
      <c r="AF16" s="1">
        <f t="shared" si="0"/>
        <v>-1.4712715148925</v>
      </c>
      <c r="AG16" s="1">
        <f t="shared" si="1"/>
        <v>-0.79465866088860082</v>
      </c>
      <c r="AH16" s="1">
        <f t="shared" si="2"/>
        <v>-0.49945545196530006</v>
      </c>
      <c r="AI16" s="2">
        <f t="shared" si="3"/>
        <v>-3.27304762371897E-2</v>
      </c>
      <c r="AJ16" s="2">
        <f t="shared" si="4"/>
        <v>-2.864481026551427E-2</v>
      </c>
      <c r="AK16" s="2">
        <f t="shared" si="5"/>
        <v>-3.5644938389071811E-2</v>
      </c>
    </row>
    <row r="17" spans="1:37" x14ac:dyDescent="0.45">
      <c r="A17">
        <v>16</v>
      </c>
      <c r="B17">
        <v>45.859321594238203</v>
      </c>
      <c r="C17">
        <v>-3.7416598796844398</v>
      </c>
      <c r="D17">
        <v>28.302299499511701</v>
      </c>
      <c r="E17">
        <v>15.926038742065399</v>
      </c>
      <c r="F17">
        <v>14.2950592041015</v>
      </c>
      <c r="G17">
        <v>4.7969999313354403</v>
      </c>
      <c r="H17" t="s">
        <v>27</v>
      </c>
      <c r="I17">
        <v>52.368839999999999</v>
      </c>
      <c r="J17">
        <v>10.473369999999999</v>
      </c>
      <c r="K17">
        <v>1.0076440572738601</v>
      </c>
      <c r="L17">
        <v>-9.9747759052568608</v>
      </c>
      <c r="M17">
        <v>1.0347818136215201</v>
      </c>
      <c r="N17">
        <v>-14.5589683962428</v>
      </c>
      <c r="O17">
        <v>1.0153677463531401</v>
      </c>
      <c r="P17">
        <v>1.0153677463531401</v>
      </c>
      <c r="Q17" s="1">
        <v>44.300006866455</v>
      </c>
      <c r="R17" s="1">
        <v>-3.4008204936981201</v>
      </c>
      <c r="S17" s="1">
        <v>27.468183517456001</v>
      </c>
      <c r="T17" s="1">
        <v>14.3238430023193</v>
      </c>
      <c r="U17" s="1">
        <v>13.7732582092285</v>
      </c>
      <c r="V17" s="1">
        <v>4.1808972358703604</v>
      </c>
      <c r="W17" s="1">
        <v>0.97618395090103105</v>
      </c>
      <c r="X17" s="1">
        <v>-9.4738429970818707</v>
      </c>
      <c r="Y17" s="1">
        <v>1.0058809518814</v>
      </c>
      <c r="Z17" s="1">
        <v>-14.021038060566701</v>
      </c>
      <c r="AA17" s="1">
        <v>0.98019903898239102</v>
      </c>
      <c r="AB17" s="1">
        <v>-14.853877184090001</v>
      </c>
      <c r="AC17" s="1">
        <v>-52.368839263916001</v>
      </c>
      <c r="AD17" s="1">
        <v>-10.473369598388601</v>
      </c>
      <c r="AE17" s="1">
        <v>-10.473369598388601</v>
      </c>
      <c r="AF17" s="1">
        <f t="shared" si="0"/>
        <v>-1.5593147277832031</v>
      </c>
      <c r="AG17" s="1">
        <f t="shared" si="1"/>
        <v>-0.83411598205569959</v>
      </c>
      <c r="AH17" s="1">
        <f t="shared" si="2"/>
        <v>-0.52180099487300069</v>
      </c>
      <c r="AI17" s="2">
        <f t="shared" si="3"/>
        <v>-3.4002132468944256E-2</v>
      </c>
      <c r="AJ17" s="2">
        <f t="shared" si="4"/>
        <v>-2.9471668267452636E-2</v>
      </c>
      <c r="AK17" s="2">
        <f t="shared" si="5"/>
        <v>-3.6502191940785175E-2</v>
      </c>
    </row>
    <row r="18" spans="1:37" x14ac:dyDescent="0.45">
      <c r="A18">
        <v>17</v>
      </c>
      <c r="B18">
        <v>47.2407417297363</v>
      </c>
      <c r="C18">
        <v>-3.8543701171875</v>
      </c>
      <c r="D18">
        <v>29.154850006103501</v>
      </c>
      <c r="E18">
        <v>16.4057807922363</v>
      </c>
      <c r="F18">
        <v>14.725669860839799</v>
      </c>
      <c r="G18">
        <v>4.9415001869201598</v>
      </c>
      <c r="H18" t="s">
        <v>27</v>
      </c>
      <c r="I18">
        <v>52.631999999999998</v>
      </c>
      <c r="J18">
        <v>10.526</v>
      </c>
      <c r="K18">
        <v>1.00643718242645</v>
      </c>
      <c r="L18">
        <v>-10.3292132073211</v>
      </c>
      <c r="M18">
        <v>1.03328132629394</v>
      </c>
      <c r="N18">
        <v>-15.0549374643963</v>
      </c>
      <c r="O18">
        <v>1.0136250257492001</v>
      </c>
      <c r="P18">
        <v>1.0136250257492001</v>
      </c>
      <c r="Q18" s="1">
        <v>45.5762519836425</v>
      </c>
      <c r="R18" s="1">
        <v>-3.4886181354522701</v>
      </c>
      <c r="S18" s="1">
        <v>28.2779731750488</v>
      </c>
      <c r="T18" s="1">
        <v>14.7177114486694</v>
      </c>
      <c r="U18" s="1">
        <v>14.1807241439819</v>
      </c>
      <c r="V18" s="1">
        <v>4.2961878776550204</v>
      </c>
      <c r="W18" s="1">
        <v>0.97372055053710904</v>
      </c>
      <c r="X18" s="1">
        <v>-9.8184559257152593</v>
      </c>
      <c r="Y18" s="1">
        <v>1.0038270950317301</v>
      </c>
      <c r="Z18" s="1">
        <v>-14.512702401959301</v>
      </c>
      <c r="AA18" s="1">
        <v>0.97802770137786799</v>
      </c>
      <c r="AB18" s="1">
        <v>-15.387612076032701</v>
      </c>
      <c r="AC18" s="1">
        <v>-52.631996154785099</v>
      </c>
      <c r="AD18" s="1">
        <v>-10.5260000228881</v>
      </c>
      <c r="AE18" s="1">
        <v>-10.5260000228881</v>
      </c>
      <c r="AF18" s="1">
        <f t="shared" si="0"/>
        <v>-1.6644897460937997</v>
      </c>
      <c r="AG18" s="1">
        <f t="shared" si="1"/>
        <v>-0.87687683105470171</v>
      </c>
      <c r="AH18" s="1">
        <f t="shared" si="2"/>
        <v>-0.5449457168578995</v>
      </c>
      <c r="AI18" s="2">
        <f t="shared" si="3"/>
        <v>-3.5234200081284181E-2</v>
      </c>
      <c r="AJ18" s="2">
        <f t="shared" si="4"/>
        <v>-3.0076533779838672E-2</v>
      </c>
      <c r="AK18" s="2">
        <f t="shared" si="5"/>
        <v>-3.7006514610726272E-2</v>
      </c>
    </row>
    <row r="19" spans="1:37" x14ac:dyDescent="0.45">
      <c r="A19">
        <v>18</v>
      </c>
      <c r="B19">
        <v>47.799999237060497</v>
      </c>
      <c r="C19">
        <v>-3.9000000953674299</v>
      </c>
      <c r="D19">
        <v>29.4999980926513</v>
      </c>
      <c r="E19">
        <v>16.600000381469702</v>
      </c>
      <c r="F19">
        <v>14.8999986648559</v>
      </c>
      <c r="G19">
        <v>5</v>
      </c>
      <c r="H19" t="s">
        <v>27</v>
      </c>
      <c r="I19">
        <v>52.631999999999998</v>
      </c>
      <c r="J19">
        <v>10.526</v>
      </c>
      <c r="K19">
        <v>1.00594234466552</v>
      </c>
      <c r="L19">
        <v>-10.4732499453097</v>
      </c>
      <c r="M19">
        <v>1.03266930580139</v>
      </c>
      <c r="N19">
        <v>-15.256469027759399</v>
      </c>
      <c r="O19">
        <v>1.0129156112670801</v>
      </c>
      <c r="P19">
        <v>1.0129156112670801</v>
      </c>
      <c r="Q19" s="1">
        <v>46.095199584960902</v>
      </c>
      <c r="R19" s="1">
        <v>-3.52467560768127</v>
      </c>
      <c r="S19" s="1">
        <v>28.607385635375898</v>
      </c>
      <c r="T19" s="1">
        <v>14.880025863647401</v>
      </c>
      <c r="U19" s="1">
        <v>14.3467187881469</v>
      </c>
      <c r="V19" s="1">
        <v>4.3440122604370099</v>
      </c>
      <c r="W19" s="1">
        <v>0.972786724567413</v>
      </c>
      <c r="X19" s="1">
        <v>-9.9597016776305392</v>
      </c>
      <c r="Y19" s="1">
        <v>1.0030536651611299</v>
      </c>
      <c r="Z19" s="1">
        <v>-14.713820738874</v>
      </c>
      <c r="AA19" s="1">
        <v>0.97722029685974099</v>
      </c>
      <c r="AB19" s="1">
        <v>-15.6064069426697</v>
      </c>
      <c r="AC19" s="1">
        <v>-52.631996154785099</v>
      </c>
      <c r="AD19" s="1">
        <v>-10.5260000228881</v>
      </c>
      <c r="AE19" s="1">
        <v>-10.5260000228881</v>
      </c>
      <c r="AF19" s="1">
        <f t="shared" si="0"/>
        <v>-1.7047996520995952</v>
      </c>
      <c r="AG19" s="1">
        <f t="shared" si="1"/>
        <v>-0.89261245727540128</v>
      </c>
      <c r="AH19" s="1">
        <f t="shared" si="2"/>
        <v>-0.55327987670900036</v>
      </c>
      <c r="AI19" s="2">
        <f t="shared" si="3"/>
        <v>-3.5665265257532108E-2</v>
      </c>
      <c r="AJ19" s="2">
        <f t="shared" si="4"/>
        <v>-3.0258051355527331E-2</v>
      </c>
      <c r="AK19" s="2">
        <f t="shared" si="5"/>
        <v>-3.7132880958842103E-2</v>
      </c>
    </row>
    <row r="20" spans="1:37" x14ac:dyDescent="0.45">
      <c r="A20">
        <v>19</v>
      </c>
      <c r="B20">
        <v>47.637481689453097</v>
      </c>
      <c r="C20">
        <v>-3.88673996925354</v>
      </c>
      <c r="D20">
        <v>29.3996982574462</v>
      </c>
      <c r="E20">
        <v>16.543560028076101</v>
      </c>
      <c r="F20">
        <v>14.849340438842701</v>
      </c>
      <c r="G20">
        <v>4.9829998016357404</v>
      </c>
      <c r="H20" t="s">
        <v>27</v>
      </c>
      <c r="I20">
        <v>52.631999999999998</v>
      </c>
      <c r="J20">
        <v>10.526</v>
      </c>
      <c r="K20">
        <v>1.00608646869659</v>
      </c>
      <c r="L20">
        <v>-10.431360394774</v>
      </c>
      <c r="M20">
        <v>1.03284752368927</v>
      </c>
      <c r="N20">
        <v>-15.1978608815407</v>
      </c>
      <c r="O20">
        <v>1.0131219625473</v>
      </c>
      <c r="P20">
        <v>1.0131219625473</v>
      </c>
      <c r="Q20" s="1">
        <v>45.944454193115199</v>
      </c>
      <c r="R20" s="1">
        <v>-3.5142135620117099</v>
      </c>
      <c r="S20" s="1">
        <v>28.511671066284102</v>
      </c>
      <c r="T20" s="1">
        <v>14.832888603210399</v>
      </c>
      <c r="U20" s="1">
        <v>14.298488616943301</v>
      </c>
      <c r="V20" s="1">
        <v>4.3301234245300204</v>
      </c>
      <c r="W20" s="1">
        <v>0.973058640956878</v>
      </c>
      <c r="X20" s="1">
        <v>-9.9186163818764594</v>
      </c>
      <c r="Y20" s="1">
        <v>1.0032787322998</v>
      </c>
      <c r="Z20" s="1">
        <v>-14.655320168135701</v>
      </c>
      <c r="AA20" s="1">
        <v>0.97745519876480103</v>
      </c>
      <c r="AB20" s="1">
        <v>-15.542763239442699</v>
      </c>
      <c r="AC20" s="1">
        <v>-52.631996154785099</v>
      </c>
      <c r="AD20" s="1">
        <v>-10.5260000228881</v>
      </c>
      <c r="AE20" s="1">
        <v>-10.5260000228881</v>
      </c>
      <c r="AF20" s="1">
        <f t="shared" si="0"/>
        <v>-1.6930274963378977</v>
      </c>
      <c r="AG20" s="1">
        <f t="shared" si="1"/>
        <v>-0.88802719116209872</v>
      </c>
      <c r="AH20" s="1">
        <f t="shared" si="2"/>
        <v>-0.55085182189939985</v>
      </c>
      <c r="AI20" s="2">
        <f t="shared" si="3"/>
        <v>-3.553981940889904E-2</v>
      </c>
      <c r="AJ20" s="2">
        <f t="shared" si="4"/>
        <v>-3.0205316509912952E-2</v>
      </c>
      <c r="AK20" s="2">
        <f t="shared" si="5"/>
        <v>-3.7096046398026487E-2</v>
      </c>
    </row>
    <row r="21" spans="1:37" x14ac:dyDescent="0.45">
      <c r="A21">
        <v>20</v>
      </c>
      <c r="B21">
        <v>47.116458892822202</v>
      </c>
      <c r="C21">
        <v>-3.8442299365997301</v>
      </c>
      <c r="D21">
        <v>29.078149795532202</v>
      </c>
      <c r="E21">
        <v>16.3626194000244</v>
      </c>
      <c r="F21">
        <v>14.6869297027587</v>
      </c>
      <c r="G21">
        <v>4.9285001754760698</v>
      </c>
      <c r="H21" t="s">
        <v>27</v>
      </c>
      <c r="I21">
        <v>52.631999999999998</v>
      </c>
      <c r="J21">
        <v>10.526</v>
      </c>
      <c r="K21">
        <v>1.00654673576354</v>
      </c>
      <c r="L21">
        <v>-10.297247921733801</v>
      </c>
      <c r="M21">
        <v>1.0334169864654501</v>
      </c>
      <c r="N21">
        <v>-15.010211677783699</v>
      </c>
      <c r="O21">
        <v>1.01378238201141</v>
      </c>
      <c r="P21">
        <v>1.01378238201141</v>
      </c>
      <c r="Q21" s="1">
        <v>45.460845947265597</v>
      </c>
      <c r="R21" s="1">
        <v>-3.4805834293365399</v>
      </c>
      <c r="S21" s="1">
        <v>28.204748153686499</v>
      </c>
      <c r="T21" s="1">
        <v>14.681591033935501</v>
      </c>
      <c r="U21" s="1">
        <v>14.1438293457031</v>
      </c>
      <c r="V21" s="1">
        <v>4.2855477333068803</v>
      </c>
      <c r="W21" s="1">
        <v>0.97392731904983498</v>
      </c>
      <c r="X21" s="1">
        <v>-9.7871207250842396</v>
      </c>
      <c r="Y21" s="1">
        <v>1.0039985179901101</v>
      </c>
      <c r="Z21" s="1">
        <v>-14.4680824832797</v>
      </c>
      <c r="AA21" s="1">
        <v>0.97820681333541804</v>
      </c>
      <c r="AB21" s="1">
        <v>-15.3390733362835</v>
      </c>
      <c r="AC21" s="1">
        <v>-52.631996154785099</v>
      </c>
      <c r="AD21" s="1">
        <v>-10.5260000228881</v>
      </c>
      <c r="AE21" s="1">
        <v>-10.5260000228881</v>
      </c>
      <c r="AF21" s="1">
        <f t="shared" si="0"/>
        <v>-1.6556129455566051</v>
      </c>
      <c r="AG21" s="1">
        <f t="shared" si="1"/>
        <v>-0.87340164184570313</v>
      </c>
      <c r="AH21" s="1">
        <f t="shared" si="2"/>
        <v>-0.54310035705560011</v>
      </c>
      <c r="AI21" s="2">
        <f t="shared" si="3"/>
        <v>-3.5138738870904913E-2</v>
      </c>
      <c r="AJ21" s="2">
        <f t="shared" si="4"/>
        <v>-3.0036355407313416E-2</v>
      </c>
      <c r="AK21" s="2">
        <f t="shared" si="5"/>
        <v>-3.6978481414913257E-2</v>
      </c>
    </row>
    <row r="22" spans="1:37" x14ac:dyDescent="0.45">
      <c r="A22">
        <v>21</v>
      </c>
      <c r="B22">
        <v>45.983600616455</v>
      </c>
      <c r="C22">
        <v>-3.7518002986907901</v>
      </c>
      <c r="D22">
        <v>28.378999710083001</v>
      </c>
      <c r="E22">
        <v>15.969200134277299</v>
      </c>
      <c r="F22">
        <v>14.3338012695312</v>
      </c>
      <c r="G22">
        <v>4.8099999427795401</v>
      </c>
      <c r="H22" t="s">
        <v>27</v>
      </c>
      <c r="I22">
        <v>52.631999999999998</v>
      </c>
      <c r="J22">
        <v>10.526</v>
      </c>
      <c r="K22">
        <v>1.0075364112853999</v>
      </c>
      <c r="L22">
        <v>-10.0065849502655</v>
      </c>
      <c r="M22">
        <v>1.0346474647521899</v>
      </c>
      <c r="N22">
        <v>-14.6034807394421</v>
      </c>
      <c r="O22">
        <v>1.0152115821838299</v>
      </c>
      <c r="P22">
        <v>1.0152115821838299</v>
      </c>
      <c r="Q22" s="1">
        <v>44.407665252685497</v>
      </c>
      <c r="R22" s="1">
        <v>-3.4070141315460201</v>
      </c>
      <c r="S22" s="1">
        <v>27.536973953246999</v>
      </c>
      <c r="T22" s="1">
        <v>14.3515825271606</v>
      </c>
      <c r="U22" s="1">
        <v>13.807410240173301</v>
      </c>
      <c r="V22" s="1">
        <v>4.1883611679077104</v>
      </c>
      <c r="W22" s="1">
        <v>0.97580021619796697</v>
      </c>
      <c r="X22" s="1">
        <v>-9.5023701361665101</v>
      </c>
      <c r="Y22" s="1">
        <v>1.00555455684661</v>
      </c>
      <c r="Z22" s="1">
        <v>-14.062636474286601</v>
      </c>
      <c r="AA22" s="1">
        <v>0.97983407974243097</v>
      </c>
      <c r="AB22" s="1">
        <v>-14.8979950838613</v>
      </c>
      <c r="AC22" s="1">
        <v>-52.631996154785099</v>
      </c>
      <c r="AD22" s="1">
        <v>-10.5260000228881</v>
      </c>
      <c r="AE22" s="1">
        <v>-10.5260000228881</v>
      </c>
      <c r="AF22" s="1">
        <f t="shared" si="0"/>
        <v>-1.5759353637695028</v>
      </c>
      <c r="AG22" s="1">
        <f t="shared" si="1"/>
        <v>-0.84202575683600145</v>
      </c>
      <c r="AH22" s="1">
        <f t="shared" si="2"/>
        <v>-0.5263910293578995</v>
      </c>
      <c r="AI22" s="2">
        <f t="shared" si="3"/>
        <v>-3.4271682570363192E-2</v>
      </c>
      <c r="AJ22" s="2">
        <f t="shared" si="4"/>
        <v>-2.9670734185068243E-2</v>
      </c>
      <c r="AK22" s="2">
        <f t="shared" si="5"/>
        <v>-3.6723756626710617E-2</v>
      </c>
    </row>
    <row r="23" spans="1:37" x14ac:dyDescent="0.45">
      <c r="A23">
        <v>22</v>
      </c>
      <c r="B23">
        <v>43.684421539306598</v>
      </c>
      <c r="C23">
        <v>-3.5642099380493102</v>
      </c>
      <c r="D23">
        <v>26.9600505828857</v>
      </c>
      <c r="E23">
        <v>15.1707391738891</v>
      </c>
      <c r="F23">
        <v>13.6171102523803</v>
      </c>
      <c r="G23">
        <v>4.5694999694824201</v>
      </c>
      <c r="H23" t="s">
        <v>27</v>
      </c>
      <c r="I23">
        <v>52.631999999999998</v>
      </c>
      <c r="J23">
        <v>10.526</v>
      </c>
      <c r="K23">
        <v>1.00950932502746</v>
      </c>
      <c r="L23">
        <v>-9.4199929314342103</v>
      </c>
      <c r="M23">
        <v>1.03711581230163</v>
      </c>
      <c r="N23">
        <v>-13.782689215943501</v>
      </c>
      <c r="O23">
        <v>1.01808762550354</v>
      </c>
      <c r="P23">
        <v>1.01808762550354</v>
      </c>
      <c r="Q23" s="1">
        <v>42.262920379638601</v>
      </c>
      <c r="R23" s="1">
        <v>-3.2557697296142498</v>
      </c>
      <c r="S23" s="1">
        <v>26.179811477661101</v>
      </c>
      <c r="T23" s="1">
        <v>13.6773986816406</v>
      </c>
      <c r="U23" s="1">
        <v>13.1239805221557</v>
      </c>
      <c r="V23" s="1">
        <v>3.9899926185607901</v>
      </c>
      <c r="W23" s="1">
        <v>0.97953701019287098</v>
      </c>
      <c r="X23" s="1">
        <v>-8.9291610193538595</v>
      </c>
      <c r="Y23" s="1">
        <v>1.0086756944656301</v>
      </c>
      <c r="Z23" s="1">
        <v>-13.2465150926727</v>
      </c>
      <c r="AA23" s="1">
        <v>0.98310816287994296</v>
      </c>
      <c r="AB23" s="1">
        <v>-14.0101481776162</v>
      </c>
      <c r="AC23" s="1">
        <v>-52.631996154785099</v>
      </c>
      <c r="AD23" s="1">
        <v>-10.5260000228881</v>
      </c>
      <c r="AE23" s="1">
        <v>-10.5260000228881</v>
      </c>
      <c r="AF23" s="1">
        <f t="shared" si="0"/>
        <v>-1.4215011596679972</v>
      </c>
      <c r="AG23" s="1">
        <f t="shared" si="1"/>
        <v>-0.78023910522459872</v>
      </c>
      <c r="AH23" s="1">
        <f t="shared" si="2"/>
        <v>-0.49312973022460049</v>
      </c>
      <c r="AI23" s="2">
        <f t="shared" si="3"/>
        <v>-3.2540230809487806E-2</v>
      </c>
      <c r="AJ23" s="2">
        <f t="shared" si="4"/>
        <v>-2.8940565331130954E-2</v>
      </c>
      <c r="AK23" s="2">
        <f t="shared" si="5"/>
        <v>-3.6213977935472791E-2</v>
      </c>
    </row>
    <row r="24" spans="1:37" x14ac:dyDescent="0.45">
      <c r="A24">
        <v>23</v>
      </c>
      <c r="B24">
        <v>40.854660034179602</v>
      </c>
      <c r="C24">
        <v>-3.33332967758178</v>
      </c>
      <c r="D24">
        <v>25.213649749755799</v>
      </c>
      <c r="E24">
        <v>14.188019752502401</v>
      </c>
      <c r="F24">
        <v>12.7350301742553</v>
      </c>
      <c r="G24">
        <v>4.2734999656677202</v>
      </c>
      <c r="H24" t="s">
        <v>27</v>
      </c>
      <c r="I24">
        <v>52.631999999999998</v>
      </c>
      <c r="J24">
        <v>10.526</v>
      </c>
      <c r="K24">
        <v>1.01184046268463</v>
      </c>
      <c r="L24">
        <v>-8.7058078551807991</v>
      </c>
      <c r="M24">
        <v>1.0400872230529701</v>
      </c>
      <c r="N24">
        <v>-12.782728168614501</v>
      </c>
      <c r="O24">
        <v>1.02157354354858</v>
      </c>
      <c r="P24">
        <v>1.02157354354858</v>
      </c>
      <c r="Q24" s="1">
        <v>39.611507415771399</v>
      </c>
      <c r="R24" s="1">
        <v>-3.06648397445678</v>
      </c>
      <c r="S24" s="1">
        <v>24.506435394287099</v>
      </c>
      <c r="T24" s="1">
        <v>12.8404197692871</v>
      </c>
      <c r="U24" s="1">
        <v>12.2817840576171</v>
      </c>
      <c r="V24" s="1">
        <v>3.7439730167388898</v>
      </c>
      <c r="W24" s="1">
        <v>0.98401969671249301</v>
      </c>
      <c r="X24" s="1">
        <v>-8.2320591001334709</v>
      </c>
      <c r="Y24" s="1">
        <v>1.0124496221542301</v>
      </c>
      <c r="Z24" s="1">
        <v>-12.254074083683699</v>
      </c>
      <c r="AA24" s="1">
        <v>0.987085402011871</v>
      </c>
      <c r="AB24" s="1">
        <v>-12.930495043695201</v>
      </c>
      <c r="AC24" s="1">
        <v>-52.631996154785099</v>
      </c>
      <c r="AD24" s="1">
        <v>-10.5260000228881</v>
      </c>
      <c r="AE24" s="1">
        <v>-10.5260000228881</v>
      </c>
      <c r="AF24" s="1">
        <f t="shared" si="0"/>
        <v>-1.2431526184082031</v>
      </c>
      <c r="AG24" s="1">
        <f t="shared" si="1"/>
        <v>-0.70721435546870026</v>
      </c>
      <c r="AH24" s="1">
        <f t="shared" si="2"/>
        <v>-0.45324611663819958</v>
      </c>
      <c r="AI24" s="2">
        <f t="shared" si="3"/>
        <v>-3.0428661439555822E-2</v>
      </c>
      <c r="AJ24" s="2">
        <f t="shared" si="4"/>
        <v>-2.8048868866180306E-2</v>
      </c>
      <c r="AK24" s="2">
        <f t="shared" si="5"/>
        <v>-3.5590501980471659E-2</v>
      </c>
    </row>
    <row r="25" spans="1:37" x14ac:dyDescent="0.45">
      <c r="A25">
        <v>24</v>
      </c>
      <c r="B25">
        <v>38.4646606445312</v>
      </c>
      <c r="C25">
        <v>-3.1383297443389799</v>
      </c>
      <c r="D25">
        <v>23.738649368286101</v>
      </c>
      <c r="E25">
        <v>13.358018875121999</v>
      </c>
      <c r="F25">
        <v>11.9900302886962</v>
      </c>
      <c r="G25">
        <v>4.0234999656677202</v>
      </c>
      <c r="H25" t="s">
        <v>27</v>
      </c>
      <c r="I25">
        <v>52.631999999999998</v>
      </c>
      <c r="J25">
        <v>10.526</v>
      </c>
      <c r="K25">
        <v>1.01374471187591</v>
      </c>
      <c r="L25">
        <v>-8.1079776137483108</v>
      </c>
      <c r="M25">
        <v>1.04254829883575</v>
      </c>
      <c r="N25">
        <v>-11.945522846627201</v>
      </c>
      <c r="O25">
        <v>1.0244774818420399</v>
      </c>
      <c r="P25">
        <v>1.0244774818420399</v>
      </c>
      <c r="Q25" s="1">
        <v>37.324680328369098</v>
      </c>
      <c r="R25" s="1">
        <v>-2.8951139450073198</v>
      </c>
      <c r="S25" s="1">
        <v>23.080726623535099</v>
      </c>
      <c r="T25" s="1">
        <v>12.1090908050537</v>
      </c>
      <c r="U25" s="1">
        <v>11.566423416137599</v>
      </c>
      <c r="V25" s="1">
        <v>3.5310275554656898</v>
      </c>
      <c r="W25" s="1">
        <v>0.98672455549240101</v>
      </c>
      <c r="X25" s="1">
        <v>-7.6396861798942002</v>
      </c>
      <c r="Y25" s="1">
        <v>1.0151784420013401</v>
      </c>
      <c r="Z25" s="1">
        <v>-11.416639096583699</v>
      </c>
      <c r="AA25" s="1">
        <v>0.99014973640441895</v>
      </c>
      <c r="AB25" s="1">
        <v>-12.023011343419499</v>
      </c>
      <c r="AC25" s="1">
        <v>-52.631996154785099</v>
      </c>
      <c r="AD25" s="1">
        <v>-10.5260000228881</v>
      </c>
      <c r="AE25" s="1">
        <v>-10.5260000228881</v>
      </c>
      <c r="AF25" s="1">
        <f t="shared" si="0"/>
        <v>-1.1399803161621023</v>
      </c>
      <c r="AG25" s="1">
        <f t="shared" si="1"/>
        <v>-0.65792274475100143</v>
      </c>
      <c r="AH25" s="1">
        <f t="shared" si="2"/>
        <v>-0.42360687255860086</v>
      </c>
      <c r="AI25" s="2">
        <f t="shared" si="3"/>
        <v>-2.9637082377956234E-2</v>
      </c>
      <c r="AJ25" s="2">
        <f t="shared" si="4"/>
        <v>-2.7715256017469984E-2</v>
      </c>
      <c r="AK25" s="2">
        <f t="shared" si="5"/>
        <v>-3.5329925142721555E-2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0AEF-9598-4F18-A213-C083826C8D8B}">
  <dimension ref="A1:AL26"/>
  <sheetViews>
    <sheetView zoomScale="55" zoomScaleNormal="55" workbookViewId="0">
      <selection activeCell="I39" sqref="I39"/>
    </sheetView>
  </sheetViews>
  <sheetFormatPr defaultRowHeight="14.25" x14ac:dyDescent="0.45"/>
  <cols>
    <col min="35" max="37" width="8.73046875" style="3"/>
  </cols>
  <sheetData>
    <row r="1" spans="1:3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</v>
      </c>
      <c r="R1" s="1" t="s">
        <v>2</v>
      </c>
      <c r="S1" s="1" t="s">
        <v>3</v>
      </c>
      <c r="T1" s="1" t="s">
        <v>4</v>
      </c>
      <c r="U1" s="1" t="s">
        <v>5</v>
      </c>
      <c r="V1" s="1" t="s">
        <v>6</v>
      </c>
      <c r="W1" s="1" t="s">
        <v>10</v>
      </c>
      <c r="X1" s="1" t="s">
        <v>11</v>
      </c>
      <c r="Y1" s="1" t="s">
        <v>12</v>
      </c>
      <c r="Z1" s="1" t="s">
        <v>13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19</v>
      </c>
      <c r="AG1" s="1" t="s">
        <v>20</v>
      </c>
      <c r="AH1" s="1" t="s">
        <v>21</v>
      </c>
      <c r="AI1" s="2" t="s">
        <v>22</v>
      </c>
      <c r="AJ1" s="2" t="s">
        <v>23</v>
      </c>
      <c r="AK1" s="2" t="s">
        <v>24</v>
      </c>
      <c r="AL1" s="1"/>
    </row>
    <row r="2" spans="1:38" x14ac:dyDescent="0.45">
      <c r="A2">
        <v>1</v>
      </c>
      <c r="B2">
        <v>36.882480621337798</v>
      </c>
      <c r="C2">
        <v>-3.0092399120330802</v>
      </c>
      <c r="D2">
        <v>22.762199401855401</v>
      </c>
      <c r="E2">
        <v>12.8085594177246</v>
      </c>
      <c r="F2">
        <v>11.496839523315399</v>
      </c>
      <c r="G2">
        <v>3.85800004005432</v>
      </c>
      <c r="H2" t="s">
        <v>26</v>
      </c>
      <c r="I2">
        <v>52.631999999999998</v>
      </c>
      <c r="J2">
        <v>10.526</v>
      </c>
      <c r="K2">
        <v>1.0149742364883401</v>
      </c>
      <c r="L2">
        <v>-7.7147192236590296</v>
      </c>
      <c r="M2">
        <v>1.0441545248031601</v>
      </c>
      <c r="N2">
        <v>-11.394707358972401</v>
      </c>
      <c r="O2">
        <v>1.0263808965682899</v>
      </c>
      <c r="P2">
        <v>1.0263808965682899</v>
      </c>
      <c r="Q2" s="1">
        <v>35.790187835693303</v>
      </c>
      <c r="R2" s="1">
        <v>-2.7766978740692099</v>
      </c>
      <c r="S2" s="1">
        <v>22.1314983367919</v>
      </c>
      <c r="T2" s="1">
        <v>11.6143436431884</v>
      </c>
      <c r="U2" s="1">
        <v>11.091074943542401</v>
      </c>
      <c r="V2" s="1">
        <v>3.3877990245818999</v>
      </c>
      <c r="W2" s="1">
        <v>0.98796874284744196</v>
      </c>
      <c r="X2" s="1">
        <v>-7.2451292000779501</v>
      </c>
      <c r="Y2" s="1">
        <v>1.01675152778625</v>
      </c>
      <c r="Z2" s="1">
        <v>-10.8617348869022</v>
      </c>
      <c r="AA2" s="1">
        <v>0.99202787876129095</v>
      </c>
      <c r="AB2" s="1">
        <v>-11.4235299037411</v>
      </c>
      <c r="AC2" s="1">
        <v>-52.631996154785099</v>
      </c>
      <c r="AD2" s="1">
        <v>-10.5260000228881</v>
      </c>
      <c r="AE2" s="1">
        <v>-10.5260000228881</v>
      </c>
      <c r="AF2" s="1">
        <f>Q2-B2</f>
        <v>-1.0922927856444957</v>
      </c>
      <c r="AG2" s="1">
        <f>S2-D2</f>
        <v>-0.63070106506350143</v>
      </c>
      <c r="AH2" s="1">
        <f>U2-F2</f>
        <v>-0.40576457977299896</v>
      </c>
      <c r="AI2" s="2">
        <f>AF2/B2</f>
        <v>-2.961549134557306E-2</v>
      </c>
      <c r="AJ2" s="2">
        <f>AG2/D2</f>
        <v>-2.7708265529564402E-2</v>
      </c>
      <c r="AK2" s="2">
        <f>AH2/F2</f>
        <v>-3.5293576025838679E-2</v>
      </c>
      <c r="AL2" s="1"/>
    </row>
    <row r="3" spans="1:38" x14ac:dyDescent="0.45">
      <c r="A3">
        <v>2</v>
      </c>
      <c r="B3">
        <v>35.931259155273402</v>
      </c>
      <c r="C3">
        <v>-2.93162989616394</v>
      </c>
      <c r="D3">
        <v>22.1751499176025</v>
      </c>
      <c r="E3">
        <v>12.4782199859619</v>
      </c>
      <c r="F3">
        <v>11.200329780578601</v>
      </c>
      <c r="G3">
        <v>3.75850009918212</v>
      </c>
      <c r="H3" t="s">
        <v>26</v>
      </c>
      <c r="I3">
        <v>52.631999999999998</v>
      </c>
      <c r="J3">
        <v>10.526</v>
      </c>
      <c r="K3">
        <v>1.0156829357147199</v>
      </c>
      <c r="L3">
        <v>-7.4793466339918897</v>
      </c>
      <c r="M3">
        <v>1.0451024770736601</v>
      </c>
      <c r="N3">
        <v>-11.0650679126742</v>
      </c>
      <c r="O3">
        <v>1.0275118350982599</v>
      </c>
      <c r="P3">
        <v>1.0275118350982599</v>
      </c>
      <c r="Q3" s="1">
        <v>34.868198394775298</v>
      </c>
      <c r="R3" s="1">
        <v>-2.70560622215271</v>
      </c>
      <c r="S3" s="1">
        <v>21.560977935791001</v>
      </c>
      <c r="T3" s="1">
        <v>11.317028045654199</v>
      </c>
      <c r="U3" s="1">
        <v>10.8053340911865</v>
      </c>
      <c r="V3" s="1">
        <v>3.30165362358093</v>
      </c>
      <c r="W3" s="1">
        <v>0.98870354890823298</v>
      </c>
      <c r="X3" s="1">
        <v>-7.0089468061004503</v>
      </c>
      <c r="Y3" s="1">
        <v>1.0176875591278001</v>
      </c>
      <c r="Z3" s="1">
        <v>-10.529501676244699</v>
      </c>
      <c r="AA3" s="1">
        <v>0.99314934015274003</v>
      </c>
      <c r="AB3" s="1">
        <v>-11.064594922070199</v>
      </c>
      <c r="AC3" s="1">
        <v>-52.631996154785099</v>
      </c>
      <c r="AD3" s="1">
        <v>-10.5260000228881</v>
      </c>
      <c r="AE3" s="1">
        <v>-10.5260000228881</v>
      </c>
      <c r="AF3" s="1">
        <f t="shared" ref="AF3:AF25" si="0">Q3-B3</f>
        <v>-1.0630607604981037</v>
      </c>
      <c r="AG3" s="1">
        <f t="shared" ref="AG3:AG25" si="1">S3-D3</f>
        <v>-0.61417198181149857</v>
      </c>
      <c r="AH3" s="1">
        <f t="shared" ref="AH3:AH25" si="2">U3-F3</f>
        <v>-0.3949956893921005</v>
      </c>
      <c r="AI3" s="2">
        <f t="shared" ref="AI3:AI25" si="3">AF3/B3</f>
        <v>-2.9585959008677967E-2</v>
      </c>
      <c r="AJ3" s="2">
        <f t="shared" ref="AJ3:AJ25" si="4">AG3/D3</f>
        <v>-2.7696407198761375E-2</v>
      </c>
      <c r="AK3" s="2">
        <f t="shared" ref="AK3:AK25" si="5">AH3/F3</f>
        <v>-3.5266433857780152E-2</v>
      </c>
      <c r="AL3" s="1"/>
    </row>
    <row r="4" spans="1:38" x14ac:dyDescent="0.45">
      <c r="A4">
        <v>3</v>
      </c>
      <c r="B4">
        <v>35.405460357666001</v>
      </c>
      <c r="C4">
        <v>-2.8887300491332999</v>
      </c>
      <c r="D4">
        <v>21.850650787353501</v>
      </c>
      <c r="E4">
        <v>12.2956199645996</v>
      </c>
      <c r="F4">
        <v>11.036430358886699</v>
      </c>
      <c r="G4">
        <v>3.7035000324249201</v>
      </c>
      <c r="H4" t="s">
        <v>26</v>
      </c>
      <c r="I4">
        <v>52.631999999999998</v>
      </c>
      <c r="J4">
        <v>10.526</v>
      </c>
      <c r="K4">
        <v>1.0159664154052701</v>
      </c>
      <c r="L4">
        <v>-7.34929129335314</v>
      </c>
      <c r="M4">
        <v>1.0455784797668399</v>
      </c>
      <c r="N4">
        <v>-10.8831091103178</v>
      </c>
      <c r="O4">
        <v>1.0281058549880899</v>
      </c>
      <c r="P4">
        <v>1.0281058549880899</v>
      </c>
      <c r="Q4" s="1">
        <v>34.362007141113203</v>
      </c>
      <c r="R4" s="1">
        <v>-2.6670758724212602</v>
      </c>
      <c r="S4" s="1">
        <v>21.2464904785156</v>
      </c>
      <c r="T4" s="1">
        <v>11.1541900634765</v>
      </c>
      <c r="U4" s="1">
        <v>10.647655487060501</v>
      </c>
      <c r="V4" s="1">
        <v>3.2542924880981401</v>
      </c>
      <c r="W4" s="1">
        <v>0.98910278081893899</v>
      </c>
      <c r="X4" s="1">
        <v>-6.8790246541516398</v>
      </c>
      <c r="Y4" s="1">
        <v>1.0181982517242401</v>
      </c>
      <c r="Z4" s="1">
        <v>-10.3467104445761</v>
      </c>
      <c r="AA4" s="1">
        <v>0.993763446807861</v>
      </c>
      <c r="AB4" s="1">
        <v>-10.867111953372</v>
      </c>
      <c r="AC4" s="1">
        <v>-52.631996154785099</v>
      </c>
      <c r="AD4" s="1">
        <v>-10.5260000228881</v>
      </c>
      <c r="AE4" s="1">
        <v>-10.5260000228881</v>
      </c>
      <c r="AF4" s="1">
        <f t="shared" si="0"/>
        <v>-1.0434532165527983</v>
      </c>
      <c r="AG4" s="1">
        <f t="shared" si="1"/>
        <v>-0.60416030883790128</v>
      </c>
      <c r="AH4" s="1">
        <f t="shared" si="2"/>
        <v>-0.38877487182619852</v>
      </c>
      <c r="AI4" s="2">
        <f t="shared" si="3"/>
        <v>-2.9471533656442613E-2</v>
      </c>
      <c r="AJ4" s="2">
        <f t="shared" si="4"/>
        <v>-2.7649533861369983E-2</v>
      </c>
      <c r="AK4" s="2">
        <f t="shared" si="5"/>
        <v>-3.5226505236192709E-2</v>
      </c>
      <c r="AL4" s="1"/>
    </row>
    <row r="5" spans="1:38" x14ac:dyDescent="0.45">
      <c r="A5">
        <v>4</v>
      </c>
      <c r="B5">
        <v>35.362438201904297</v>
      </c>
      <c r="C5">
        <v>-2.88522005081176</v>
      </c>
      <c r="D5">
        <v>21.824100494384702</v>
      </c>
      <c r="E5">
        <v>12.2806797027587</v>
      </c>
      <c r="F5">
        <v>11.0230197906494</v>
      </c>
      <c r="G5">
        <v>3.6989998817443799</v>
      </c>
      <c r="H5" t="s">
        <v>26</v>
      </c>
      <c r="I5">
        <v>52.631999999999998</v>
      </c>
      <c r="J5">
        <v>10.526</v>
      </c>
      <c r="K5">
        <v>1.0159894227981501</v>
      </c>
      <c r="L5">
        <v>-7.3386566887250497</v>
      </c>
      <c r="M5">
        <v>1.0456173419952299</v>
      </c>
      <c r="N5">
        <v>-10.868230396858101</v>
      </c>
      <c r="O5">
        <v>1.02815449237823</v>
      </c>
      <c r="P5">
        <v>1.02815449237823</v>
      </c>
      <c r="Q5" s="1">
        <v>34.320579528808501</v>
      </c>
      <c r="R5" s="1">
        <v>-2.6639220714568999</v>
      </c>
      <c r="S5" s="1">
        <v>21.220758438110298</v>
      </c>
      <c r="T5" s="1">
        <v>11.1408672332763</v>
      </c>
      <c r="U5" s="1">
        <v>10.634752273559499</v>
      </c>
      <c r="V5" s="1">
        <v>3.25041556358337</v>
      </c>
      <c r="W5" s="1">
        <v>0.98913532495498602</v>
      </c>
      <c r="X5" s="1">
        <v>-6.8684037099020099</v>
      </c>
      <c r="Y5" s="1">
        <v>1.0182399749755799</v>
      </c>
      <c r="Z5" s="1">
        <v>-10.3317668443188</v>
      </c>
      <c r="AA5" s="1">
        <v>0.99381363391876198</v>
      </c>
      <c r="AB5" s="1">
        <v>-10.8509662398105</v>
      </c>
      <c r="AC5" s="1">
        <v>-52.631996154785099</v>
      </c>
      <c r="AD5" s="1">
        <v>-10.5260000228881</v>
      </c>
      <c r="AE5" s="1">
        <v>-10.5260000228881</v>
      </c>
      <c r="AF5" s="1">
        <f t="shared" si="0"/>
        <v>-1.0418586730957955</v>
      </c>
      <c r="AG5" s="1">
        <f t="shared" si="1"/>
        <v>-0.6033420562744034</v>
      </c>
      <c r="AH5" s="1">
        <f t="shared" si="2"/>
        <v>-0.38826751708990059</v>
      </c>
      <c r="AI5" s="2">
        <f t="shared" si="3"/>
        <v>-2.9462297456618547E-2</v>
      </c>
      <c r="AJ5" s="2">
        <f t="shared" si="4"/>
        <v>-2.7645678062637319E-2</v>
      </c>
      <c r="AK5" s="2">
        <f t="shared" si="5"/>
        <v>-3.5223334845072118E-2</v>
      </c>
      <c r="AL5" s="1"/>
    </row>
    <row r="6" spans="1:38" x14ac:dyDescent="0.45">
      <c r="A6">
        <v>5</v>
      </c>
      <c r="B6">
        <v>36.151138305663999</v>
      </c>
      <c r="C6">
        <v>-2.9495699405670099</v>
      </c>
      <c r="D6">
        <v>22.310850143432599</v>
      </c>
      <c r="E6">
        <v>12.5545797348022</v>
      </c>
      <c r="F6">
        <v>11.2688703536987</v>
      </c>
      <c r="G6">
        <v>3.78150010108947</v>
      </c>
      <c r="H6" t="s">
        <v>26</v>
      </c>
      <c r="I6">
        <v>52.631999999999998</v>
      </c>
      <c r="J6">
        <v>10.526</v>
      </c>
      <c r="K6">
        <v>1.0155328512191699</v>
      </c>
      <c r="L6">
        <v>-7.5337294543993396</v>
      </c>
      <c r="M6">
        <v>1.04488956928253</v>
      </c>
      <c r="N6">
        <v>-11.1412134235095</v>
      </c>
      <c r="O6">
        <v>1.02725434303283</v>
      </c>
      <c r="P6">
        <v>1.02725434303283</v>
      </c>
      <c r="Q6" s="1">
        <v>35.080886840820298</v>
      </c>
      <c r="R6" s="1">
        <v>-2.7219436168670601</v>
      </c>
      <c r="S6" s="1">
        <v>21.692745208740199</v>
      </c>
      <c r="T6" s="1">
        <v>11.3855695724487</v>
      </c>
      <c r="U6" s="1">
        <v>10.871354103088301</v>
      </c>
      <c r="V6" s="1">
        <v>3.3215382099151598</v>
      </c>
      <c r="W6" s="1">
        <v>0.98853492736816395</v>
      </c>
      <c r="X6" s="1">
        <v>-7.06343506755411</v>
      </c>
      <c r="Y6" s="1">
        <v>1.01747226715087</v>
      </c>
      <c r="Z6" s="1">
        <v>-10.606150059761999</v>
      </c>
      <c r="AA6" s="1">
        <v>0.99289107322692804</v>
      </c>
      <c r="AB6" s="1">
        <v>-11.1473998674029</v>
      </c>
      <c r="AC6" s="1">
        <v>-52.631996154785099</v>
      </c>
      <c r="AD6" s="1">
        <v>-10.5260000228881</v>
      </c>
      <c r="AE6" s="1">
        <v>-10.5260000228881</v>
      </c>
      <c r="AF6" s="1">
        <f t="shared" si="0"/>
        <v>-1.0702514648437003</v>
      </c>
      <c r="AG6" s="1">
        <f t="shared" si="1"/>
        <v>-0.61810493469240058</v>
      </c>
      <c r="AH6" s="1">
        <f t="shared" si="2"/>
        <v>-0.39751625061039952</v>
      </c>
      <c r="AI6" s="2">
        <f t="shared" si="3"/>
        <v>-2.9604917438409348E-2</v>
      </c>
      <c r="AJ6" s="2">
        <f t="shared" si="4"/>
        <v>-2.7704230485109747E-2</v>
      </c>
      <c r="AK6" s="2">
        <f t="shared" si="5"/>
        <v>-3.5275607770207919E-2</v>
      </c>
      <c r="AL6" s="1"/>
    </row>
    <row r="7" spans="1:38" x14ac:dyDescent="0.45">
      <c r="A7">
        <v>6</v>
      </c>
      <c r="B7">
        <v>38.173080444335902</v>
      </c>
      <c r="C7">
        <v>-3.11454010009765</v>
      </c>
      <c r="D7">
        <v>23.558700561523398</v>
      </c>
      <c r="E7">
        <v>13.2567596435546</v>
      </c>
      <c r="F7">
        <v>11.899140357971101</v>
      </c>
      <c r="G7">
        <v>3.9930000305175701</v>
      </c>
      <c r="H7" t="s">
        <v>26</v>
      </c>
      <c r="I7">
        <v>52.631999999999998</v>
      </c>
      <c r="J7">
        <v>10.526</v>
      </c>
      <c r="K7">
        <v>1.0139729976653999</v>
      </c>
      <c r="L7">
        <v>-8.0353658720648298</v>
      </c>
      <c r="M7">
        <v>1.04284560680389</v>
      </c>
      <c r="N7">
        <v>-11.843828159210601</v>
      </c>
      <c r="O7">
        <v>1.0248292684555</v>
      </c>
      <c r="P7">
        <v>1.0248292684555</v>
      </c>
      <c r="Q7" s="1">
        <v>37.041900634765597</v>
      </c>
      <c r="R7" s="1">
        <v>-2.8732991218566801</v>
      </c>
      <c r="S7" s="1">
        <v>22.905796051025298</v>
      </c>
      <c r="T7" s="1">
        <v>12.017940521240201</v>
      </c>
      <c r="U7" s="1">
        <v>11.478827476501399</v>
      </c>
      <c r="V7" s="1">
        <v>3.5046498775482098</v>
      </c>
      <c r="W7" s="1">
        <v>0.98695582151412897</v>
      </c>
      <c r="X7" s="1">
        <v>-7.5668165985673603</v>
      </c>
      <c r="Y7" s="1">
        <v>1.01546967029571</v>
      </c>
      <c r="Z7" s="1">
        <v>-11.3141606449532</v>
      </c>
      <c r="AA7" s="1">
        <v>0.99049699306488004</v>
      </c>
      <c r="AB7" s="1">
        <v>-11.9122973911273</v>
      </c>
      <c r="AC7" s="1">
        <v>-52.631996154785099</v>
      </c>
      <c r="AD7" s="1">
        <v>-10.5260000228881</v>
      </c>
      <c r="AE7" s="1">
        <v>-10.5260000228881</v>
      </c>
      <c r="AF7" s="1">
        <f t="shared" si="0"/>
        <v>-1.1311798095703054</v>
      </c>
      <c r="AG7" s="1">
        <f t="shared" si="1"/>
        <v>-0.65290451049810017</v>
      </c>
      <c r="AH7" s="1">
        <f t="shared" si="2"/>
        <v>-0.42031288146970169</v>
      </c>
      <c r="AI7" s="2">
        <f t="shared" si="3"/>
        <v>-2.9632919230078776E-2</v>
      </c>
      <c r="AJ7" s="2">
        <f t="shared" si="4"/>
        <v>-2.7713944102861026E-2</v>
      </c>
      <c r="AK7" s="2">
        <f t="shared" si="5"/>
        <v>-3.5322961896834738E-2</v>
      </c>
      <c r="AL7" s="1"/>
    </row>
    <row r="8" spans="1:38" x14ac:dyDescent="0.45">
      <c r="A8">
        <v>7</v>
      </c>
      <c r="B8">
        <v>41.232280731201101</v>
      </c>
      <c r="C8">
        <v>-3.3641402721404998</v>
      </c>
      <c r="D8">
        <v>25.446697235107401</v>
      </c>
      <c r="E8">
        <v>14.3191604614257</v>
      </c>
      <c r="F8">
        <v>12.8527402877807</v>
      </c>
      <c r="G8">
        <v>4.3130002021789497</v>
      </c>
      <c r="H8" t="s">
        <v>26</v>
      </c>
      <c r="I8">
        <v>52.526736</v>
      </c>
      <c r="J8">
        <v>10.504948000000001</v>
      </c>
      <c r="K8">
        <v>1.0115343332290601</v>
      </c>
      <c r="L8">
        <v>-8.80070735808909</v>
      </c>
      <c r="M8">
        <v>1.03969419002532</v>
      </c>
      <c r="N8">
        <v>-12.9156137689146</v>
      </c>
      <c r="O8">
        <v>1.0211113691329901</v>
      </c>
      <c r="P8">
        <v>1.0211113691329901</v>
      </c>
      <c r="Q8" s="1">
        <v>39.968982696533203</v>
      </c>
      <c r="R8" s="1">
        <v>-3.0926327705383301</v>
      </c>
      <c r="S8" s="1">
        <v>24.731563568115199</v>
      </c>
      <c r="T8" s="1">
        <v>12.955639839172299</v>
      </c>
      <c r="U8" s="1">
        <v>12.395234107971101</v>
      </c>
      <c r="V8" s="1">
        <v>3.7780661582946702</v>
      </c>
      <c r="W8" s="1">
        <v>0.98350024223327603</v>
      </c>
      <c r="X8" s="1">
        <v>-8.3256386689734398</v>
      </c>
      <c r="Y8" s="1">
        <v>1.01201283931732</v>
      </c>
      <c r="Z8" s="1">
        <v>-12.3869229717168</v>
      </c>
      <c r="AA8" s="1">
        <v>0.98663276433944702</v>
      </c>
      <c r="AB8" s="1">
        <v>-13.0754709327027</v>
      </c>
      <c r="AC8" s="1">
        <v>-52.526737213134702</v>
      </c>
      <c r="AD8" s="1">
        <v>-10.5049476623535</v>
      </c>
      <c r="AE8" s="1">
        <v>-10.5049476623535</v>
      </c>
      <c r="AF8" s="1">
        <f t="shared" si="0"/>
        <v>-1.2632980346678977</v>
      </c>
      <c r="AG8" s="1">
        <f t="shared" si="1"/>
        <v>-0.71513366699220171</v>
      </c>
      <c r="AH8" s="1">
        <f t="shared" si="2"/>
        <v>-0.45750617980959873</v>
      </c>
      <c r="AI8" s="2">
        <f t="shared" si="3"/>
        <v>-3.0638567943973582E-2</v>
      </c>
      <c r="AJ8" s="2">
        <f t="shared" si="4"/>
        <v>-2.8103201778404915E-2</v>
      </c>
      <c r="AK8" s="2">
        <f t="shared" si="5"/>
        <v>-3.5596002841865322E-2</v>
      </c>
      <c r="AL8" s="1"/>
    </row>
    <row r="9" spans="1:38" x14ac:dyDescent="0.45">
      <c r="A9">
        <v>8</v>
      </c>
      <c r="B9">
        <v>43.3020210266113</v>
      </c>
      <c r="C9">
        <v>-3.5330102443695002</v>
      </c>
      <c r="D9">
        <v>26.7240486145019</v>
      </c>
      <c r="E9">
        <v>15.037940025329499</v>
      </c>
      <c r="F9">
        <v>13.4979095458984</v>
      </c>
      <c r="G9">
        <v>4.5295000076293901</v>
      </c>
      <c r="H9" t="s">
        <v>26</v>
      </c>
      <c r="I9">
        <v>51.158303999999902</v>
      </c>
      <c r="J9">
        <v>10.231271999999899</v>
      </c>
      <c r="K9">
        <v>1.0098292827606199</v>
      </c>
      <c r="L9">
        <v>-9.3230657160988404</v>
      </c>
      <c r="M9">
        <v>1.0375211238861</v>
      </c>
      <c r="N9">
        <v>-13.6469887239077</v>
      </c>
      <c r="O9">
        <v>1.0185617208480799</v>
      </c>
      <c r="P9">
        <v>1.0185617208480799</v>
      </c>
      <c r="Q9" s="1">
        <v>41.947704315185497</v>
      </c>
      <c r="R9" s="1">
        <v>-3.2404706478118799</v>
      </c>
      <c r="S9" s="1">
        <v>25.977668762206999</v>
      </c>
      <c r="T9" s="1">
        <v>13.609726905822701</v>
      </c>
      <c r="U9" s="1">
        <v>13.0248365402221</v>
      </c>
      <c r="V9" s="1">
        <v>3.9737489223480198</v>
      </c>
      <c r="W9" s="1">
        <v>0.98115205764770497</v>
      </c>
      <c r="X9" s="1">
        <v>-8.8492392676490503</v>
      </c>
      <c r="Y9" s="1">
        <v>1.01006615161895</v>
      </c>
      <c r="Z9" s="1">
        <v>-13.127407691592801</v>
      </c>
      <c r="AA9" s="1">
        <v>0.98469561338424605</v>
      </c>
      <c r="AB9" s="1">
        <v>-13.8869255875265</v>
      </c>
      <c r="AC9" s="1">
        <v>-51.158302307128899</v>
      </c>
      <c r="AD9" s="1">
        <v>-10.2312717437744</v>
      </c>
      <c r="AE9" s="1">
        <v>-10.2312717437744</v>
      </c>
      <c r="AF9" s="1">
        <f t="shared" si="0"/>
        <v>-1.3543167114258026</v>
      </c>
      <c r="AG9" s="1">
        <f t="shared" si="1"/>
        <v>-0.74637985229490056</v>
      </c>
      <c r="AH9" s="1">
        <f t="shared" si="2"/>
        <v>-0.47307300567629973</v>
      </c>
      <c r="AI9" s="2">
        <f t="shared" si="3"/>
        <v>-3.1276062394258827E-2</v>
      </c>
      <c r="AJ9" s="2">
        <f t="shared" si="4"/>
        <v>-2.7929145881357021E-2</v>
      </c>
      <c r="AK9" s="2">
        <f t="shared" si="5"/>
        <v>-3.5047871973631066E-2</v>
      </c>
      <c r="AL9" s="1"/>
    </row>
    <row r="10" spans="1:38" x14ac:dyDescent="0.45">
      <c r="A10">
        <v>9</v>
      </c>
      <c r="B10">
        <v>43.885181427001903</v>
      </c>
      <c r="C10">
        <v>-3.5805900096893302</v>
      </c>
      <c r="D10">
        <v>27.0839519500732</v>
      </c>
      <c r="E10">
        <v>15.240460395812899</v>
      </c>
      <c r="F10">
        <v>13.679690361022899</v>
      </c>
      <c r="G10">
        <v>4.5904998779296804</v>
      </c>
      <c r="H10" t="s">
        <v>26</v>
      </c>
      <c r="I10">
        <v>47.053007999999998</v>
      </c>
      <c r="J10">
        <v>9.4102440000000005</v>
      </c>
      <c r="K10">
        <v>1.0093407630920399</v>
      </c>
      <c r="L10">
        <v>-9.4709324826970693</v>
      </c>
      <c r="M10">
        <v>1.0369025468826201</v>
      </c>
      <c r="N10">
        <v>-13.8540040754473</v>
      </c>
      <c r="O10">
        <v>1.01783812046051</v>
      </c>
      <c r="P10">
        <v>1.01783812046051</v>
      </c>
      <c r="Q10" s="1">
        <v>42.612422943115199</v>
      </c>
      <c r="R10" s="1">
        <v>-3.3076622486114502</v>
      </c>
      <c r="S10" s="1">
        <v>26.3894443511962</v>
      </c>
      <c r="T10" s="1">
        <v>13.9088582992553</v>
      </c>
      <c r="U10" s="1">
        <v>13.239550590515099</v>
      </c>
      <c r="V10" s="1">
        <v>4.0721306800842196</v>
      </c>
      <c r="W10" s="1">
        <v>0.98299729824066095</v>
      </c>
      <c r="X10" s="1">
        <v>-9.0349017401143907</v>
      </c>
      <c r="Y10" s="1">
        <v>1.01171231269836</v>
      </c>
      <c r="Z10" s="1">
        <v>-13.376888037110501</v>
      </c>
      <c r="AA10" s="1">
        <v>0.98677378892898504</v>
      </c>
      <c r="AB10" s="1">
        <v>-14.1759476060327</v>
      </c>
      <c r="AC10" s="1">
        <v>-47.053009033203097</v>
      </c>
      <c r="AD10" s="1">
        <v>-9.4102439880371094</v>
      </c>
      <c r="AE10" s="1">
        <v>-9.4102439880371094</v>
      </c>
      <c r="AF10" s="1">
        <f t="shared" si="0"/>
        <v>-1.2727584838867045</v>
      </c>
      <c r="AG10" s="1">
        <f t="shared" si="1"/>
        <v>-0.69450759887699931</v>
      </c>
      <c r="AH10" s="1">
        <f t="shared" si="2"/>
        <v>-0.44013977050780007</v>
      </c>
      <c r="AI10" s="2">
        <f t="shared" si="3"/>
        <v>-2.9002010302812489E-2</v>
      </c>
      <c r="AJ10" s="2">
        <f t="shared" si="4"/>
        <v>-2.56427717844597E-2</v>
      </c>
      <c r="AK10" s="2">
        <f t="shared" si="5"/>
        <v>-3.2174688088107327E-2</v>
      </c>
      <c r="AL10" s="1"/>
    </row>
    <row r="11" spans="1:38" x14ac:dyDescent="0.45">
      <c r="A11">
        <v>10</v>
      </c>
      <c r="B11">
        <v>44.119400024413999</v>
      </c>
      <c r="C11">
        <v>-3.5996999740600502</v>
      </c>
      <c r="D11">
        <v>27.228502273559499</v>
      </c>
      <c r="E11">
        <v>15.3218002319335</v>
      </c>
      <c r="F11">
        <v>13.752700805664</v>
      </c>
      <c r="G11">
        <v>4.6149997711181596</v>
      </c>
      <c r="H11" t="s">
        <v>26</v>
      </c>
      <c r="I11">
        <v>41.421384000000003</v>
      </c>
      <c r="J11">
        <v>8.2839620000000007</v>
      </c>
      <c r="K11">
        <v>1.00914525985717</v>
      </c>
      <c r="L11">
        <v>-9.5303457374709808</v>
      </c>
      <c r="M11">
        <v>1.03665482997894</v>
      </c>
      <c r="N11">
        <v>-13.937147968920399</v>
      </c>
      <c r="O11">
        <v>1.0175489187240601</v>
      </c>
      <c r="P11">
        <v>1.0175489187240601</v>
      </c>
      <c r="Q11" s="1">
        <v>42.995338439941399</v>
      </c>
      <c r="R11" s="1">
        <v>-3.36235475540161</v>
      </c>
      <c r="S11" s="1">
        <v>26.619947433471602</v>
      </c>
      <c r="T11" s="1">
        <v>14.152879714965801</v>
      </c>
      <c r="U11" s="1">
        <v>13.365739822387599</v>
      </c>
      <c r="V11" s="1">
        <v>4.1582322120666504</v>
      </c>
      <c r="W11" s="1">
        <v>0.98640763759613004</v>
      </c>
      <c r="X11" s="1">
        <v>-9.1494687729048696</v>
      </c>
      <c r="Y11" s="1">
        <v>1.0147080421447701</v>
      </c>
      <c r="Z11" s="1">
        <v>-13.519813161802199</v>
      </c>
      <c r="AA11" s="1">
        <v>0.99039572477340698</v>
      </c>
      <c r="AB11" s="1">
        <v>-14.355398021395199</v>
      </c>
      <c r="AC11" s="1">
        <v>-41.421382904052699</v>
      </c>
      <c r="AD11" s="1">
        <v>-8.2839622497558594</v>
      </c>
      <c r="AE11" s="1">
        <v>-8.2839622497558594</v>
      </c>
      <c r="AF11" s="1">
        <f t="shared" si="0"/>
        <v>-1.1240615844725994</v>
      </c>
      <c r="AG11" s="1">
        <f t="shared" si="1"/>
        <v>-0.60855484008789773</v>
      </c>
      <c r="AH11" s="1">
        <f t="shared" si="2"/>
        <v>-0.38696098327640094</v>
      </c>
      <c r="AI11" s="2">
        <f t="shared" si="3"/>
        <v>-2.5477716919327698E-2</v>
      </c>
      <c r="AJ11" s="2">
        <f t="shared" si="4"/>
        <v>-2.2349919726537468E-2</v>
      </c>
      <c r="AK11" s="2">
        <f t="shared" si="5"/>
        <v>-2.8137090215547514E-2</v>
      </c>
      <c r="AL11" s="1"/>
    </row>
    <row r="12" spans="1:38" x14ac:dyDescent="0.45">
      <c r="A12">
        <v>11</v>
      </c>
      <c r="B12">
        <v>44.267578125</v>
      </c>
      <c r="C12">
        <v>-3.61178994178771</v>
      </c>
      <c r="D12">
        <v>27.319950103759702</v>
      </c>
      <c r="E12">
        <v>15.3732595443725</v>
      </c>
      <c r="F12">
        <v>13.7988891601562</v>
      </c>
      <c r="G12">
        <v>4.6304998397827104</v>
      </c>
      <c r="H12" t="s">
        <v>26</v>
      </c>
      <c r="I12">
        <v>35.737127999999998</v>
      </c>
      <c r="J12">
        <v>7.1471539999999996</v>
      </c>
      <c r="K12">
        <v>1.0090196132659901</v>
      </c>
      <c r="L12">
        <v>-9.5680125235164102</v>
      </c>
      <c r="M12">
        <v>1.0364966392517001</v>
      </c>
      <c r="N12">
        <v>-13.9898881288185</v>
      </c>
      <c r="O12">
        <v>1.0173639059066699</v>
      </c>
      <c r="P12">
        <v>1.0173639059066699</v>
      </c>
      <c r="Q12" s="1">
        <v>43.299285888671797</v>
      </c>
      <c r="R12" s="1">
        <v>-3.4117453098297101</v>
      </c>
      <c r="S12" s="1">
        <v>26.80029296875</v>
      </c>
      <c r="T12" s="1">
        <v>14.3734130859375</v>
      </c>
      <c r="U12" s="1">
        <v>13.4667310714721</v>
      </c>
      <c r="V12" s="1">
        <v>4.2376065254211399</v>
      </c>
      <c r="W12" s="1">
        <v>0.98995935916900601</v>
      </c>
      <c r="X12" s="1">
        <v>-9.2432498323270593</v>
      </c>
      <c r="Y12" s="1">
        <v>1.0178244113922099</v>
      </c>
      <c r="Z12" s="1">
        <v>-13.633192595440701</v>
      </c>
      <c r="AA12" s="1">
        <v>0.99414306879043501</v>
      </c>
      <c r="AB12" s="1">
        <v>-14.5026944671928</v>
      </c>
      <c r="AC12" s="1">
        <v>-35.737129211425703</v>
      </c>
      <c r="AD12" s="1">
        <v>-7.1471543312072701</v>
      </c>
      <c r="AE12" s="1">
        <v>-7.1471543312072701</v>
      </c>
      <c r="AF12" s="1">
        <f t="shared" si="0"/>
        <v>-0.96829223632820316</v>
      </c>
      <c r="AG12" s="1">
        <f t="shared" si="1"/>
        <v>-0.51965713500970168</v>
      </c>
      <c r="AH12" s="1">
        <f t="shared" si="2"/>
        <v>-0.33215808868409979</v>
      </c>
      <c r="AI12" s="2">
        <f t="shared" si="3"/>
        <v>-2.1873621222150454E-2</v>
      </c>
      <c r="AJ12" s="2">
        <f t="shared" si="4"/>
        <v>-1.9021159739899665E-2</v>
      </c>
      <c r="AK12" s="2">
        <f t="shared" si="5"/>
        <v>-2.407136435613922E-2</v>
      </c>
      <c r="AL12" s="1"/>
    </row>
    <row r="13" spans="1:38" x14ac:dyDescent="0.45">
      <c r="A13">
        <v>12</v>
      </c>
      <c r="B13">
        <v>44.415760040283203</v>
      </c>
      <c r="C13">
        <v>-3.62388014793396</v>
      </c>
      <c r="D13">
        <v>27.411401748657202</v>
      </c>
      <c r="E13">
        <v>15.424719810485801</v>
      </c>
      <c r="F13">
        <v>13.8450803756713</v>
      </c>
      <c r="G13">
        <v>4.6459999084472603</v>
      </c>
      <c r="H13" t="s">
        <v>26</v>
      </c>
      <c r="I13">
        <v>32.579208000000001</v>
      </c>
      <c r="J13">
        <v>6.5155940000000001</v>
      </c>
      <c r="K13">
        <v>1.00889384746551</v>
      </c>
      <c r="L13">
        <v>-9.6056980925822195</v>
      </c>
      <c r="M13">
        <v>1.03633821010589</v>
      </c>
      <c r="N13">
        <v>-14.0426547556999</v>
      </c>
      <c r="O13">
        <v>1.01717877388</v>
      </c>
      <c r="P13">
        <v>1.01717877388</v>
      </c>
      <c r="Q13" s="1">
        <v>43.5301704406738</v>
      </c>
      <c r="R13" s="1">
        <v>-3.4436969757079998</v>
      </c>
      <c r="S13" s="1">
        <v>26.939710617065401</v>
      </c>
      <c r="T13" s="1">
        <v>14.516221046447701</v>
      </c>
      <c r="U13" s="1">
        <v>13.5426521301269</v>
      </c>
      <c r="V13" s="1">
        <v>4.2878108024597097</v>
      </c>
      <c r="W13" s="1">
        <v>0.99180424213409402</v>
      </c>
      <c r="X13" s="1">
        <v>-9.3135162577843609</v>
      </c>
      <c r="Y13" s="1">
        <v>1.0194500684738099</v>
      </c>
      <c r="Z13" s="1">
        <v>-13.7218219846376</v>
      </c>
      <c r="AA13" s="1">
        <v>0.99611282348632801</v>
      </c>
      <c r="AB13" s="1">
        <v>-14.612153372214401</v>
      </c>
      <c r="AC13" s="1">
        <v>-32.579208374023402</v>
      </c>
      <c r="AD13" s="1">
        <v>-6.5155940055847097</v>
      </c>
      <c r="AE13" s="1">
        <v>-6.5155940055847097</v>
      </c>
      <c r="AF13" s="1">
        <f t="shared" si="0"/>
        <v>-0.88558959960940342</v>
      </c>
      <c r="AG13" s="1">
        <f t="shared" si="1"/>
        <v>-0.47169113159180043</v>
      </c>
      <c r="AH13" s="1">
        <f t="shared" si="2"/>
        <v>-0.30242824554439984</v>
      </c>
      <c r="AI13" s="2">
        <f t="shared" si="3"/>
        <v>-1.9938634367760708E-2</v>
      </c>
      <c r="AJ13" s="2">
        <f t="shared" si="4"/>
        <v>-1.720784423638266E-2</v>
      </c>
      <c r="AK13" s="2">
        <f t="shared" si="5"/>
        <v>-2.1843733466208652E-2</v>
      </c>
      <c r="AL13" s="1"/>
    </row>
    <row r="14" spans="1:38" x14ac:dyDescent="0.45">
      <c r="A14">
        <v>13</v>
      </c>
      <c r="B14">
        <v>44.559158325195298</v>
      </c>
      <c r="C14">
        <v>-3.63558006286621</v>
      </c>
      <c r="D14">
        <v>27.499902725219702</v>
      </c>
      <c r="E14">
        <v>15.474518775939901</v>
      </c>
      <c r="F14">
        <v>13.889780998229901</v>
      </c>
      <c r="G14">
        <v>4.6609997749328604</v>
      </c>
      <c r="H14" t="s">
        <v>26</v>
      </c>
      <c r="I14">
        <v>33.526584</v>
      </c>
      <c r="J14">
        <v>6.7050619999999999</v>
      </c>
      <c r="K14">
        <v>1.00877213478088</v>
      </c>
      <c r="L14">
        <v>-9.6421815483438902</v>
      </c>
      <c r="M14">
        <v>1.0361849069595299</v>
      </c>
      <c r="N14">
        <v>-14.093731764520999</v>
      </c>
      <c r="O14">
        <v>1.0169999599456701</v>
      </c>
      <c r="P14">
        <v>1.0169999599456701</v>
      </c>
      <c r="Q14" s="1">
        <v>43.638317108154297</v>
      </c>
      <c r="R14" s="1">
        <v>-3.44701719284057</v>
      </c>
      <c r="S14" s="1">
        <v>27.0100288391113</v>
      </c>
      <c r="T14" s="1">
        <v>14.531016349792401</v>
      </c>
      <c r="U14" s="1">
        <v>13.576510429382299</v>
      </c>
      <c r="V14" s="1">
        <v>4.2899665832519496</v>
      </c>
      <c r="W14" s="1">
        <v>0.99094289541244496</v>
      </c>
      <c r="X14" s="1">
        <v>-9.3405791750532394</v>
      </c>
      <c r="Y14" s="1">
        <v>1.01870417594909</v>
      </c>
      <c r="Z14" s="1">
        <v>-13.7634084455263</v>
      </c>
      <c r="AA14" s="1">
        <v>0.99525201320648105</v>
      </c>
      <c r="AB14" s="1">
        <v>-14.653353073638</v>
      </c>
      <c r="AC14" s="1">
        <v>-33.526584625244098</v>
      </c>
      <c r="AD14" s="1">
        <v>-6.7050619125366202</v>
      </c>
      <c r="AE14" s="1">
        <v>-6.7050619125366202</v>
      </c>
      <c r="AF14" s="1">
        <f t="shared" si="0"/>
        <v>-0.92084121704100141</v>
      </c>
      <c r="AG14" s="1">
        <f t="shared" si="1"/>
        <v>-0.48987388610840199</v>
      </c>
      <c r="AH14" s="1">
        <f t="shared" si="2"/>
        <v>-0.31327056884760118</v>
      </c>
      <c r="AI14" s="2">
        <f t="shared" si="3"/>
        <v>-2.0665588212430974E-2</v>
      </c>
      <c r="AJ14" s="2">
        <f t="shared" si="4"/>
        <v>-1.7813658870114723E-2</v>
      </c>
      <c r="AK14" s="2">
        <f t="shared" si="5"/>
        <v>-2.255403226930101E-2</v>
      </c>
      <c r="AL14" s="1"/>
    </row>
    <row r="15" spans="1:38" x14ac:dyDescent="0.45">
      <c r="A15">
        <v>14</v>
      </c>
      <c r="B15">
        <v>44.6356391906738</v>
      </c>
      <c r="C15">
        <v>-3.6418199539184499</v>
      </c>
      <c r="D15">
        <v>27.547100067138601</v>
      </c>
      <c r="E15">
        <v>15.5010786056518</v>
      </c>
      <c r="F15">
        <v>13.9136199951171</v>
      </c>
      <c r="G15">
        <v>4.6690001487731898</v>
      </c>
      <c r="H15" t="s">
        <v>26</v>
      </c>
      <c r="I15">
        <v>35.052911999999999</v>
      </c>
      <c r="J15">
        <v>7.0103160000000004</v>
      </c>
      <c r="K15">
        <v>1.0087074041366499</v>
      </c>
      <c r="L15">
        <v>-9.6616399036809799</v>
      </c>
      <c r="M15">
        <v>1.0361033678054801</v>
      </c>
      <c r="N15">
        <v>-14.1209697053888</v>
      </c>
      <c r="O15">
        <v>1.0169045925140301</v>
      </c>
      <c r="P15">
        <v>1.0169045925140301</v>
      </c>
      <c r="Q15" s="1">
        <v>43.666900634765597</v>
      </c>
      <c r="R15" s="1">
        <v>-3.44182181358337</v>
      </c>
      <c r="S15" s="1">
        <v>27.0310974121093</v>
      </c>
      <c r="T15" s="1">
        <v>14.507494926452599</v>
      </c>
      <c r="U15" s="1">
        <v>13.5844602584838</v>
      </c>
      <c r="V15" s="1">
        <v>4.2792654037475497</v>
      </c>
      <c r="W15" s="1">
        <v>0.98982173204421997</v>
      </c>
      <c r="X15" s="1">
        <v>-9.3414560005953895</v>
      </c>
      <c r="Y15" s="1">
        <v>1.01772212982177</v>
      </c>
      <c r="Z15" s="1">
        <v>-13.7703402338191</v>
      </c>
      <c r="AA15" s="1">
        <v>0.994093418121337</v>
      </c>
      <c r="AB15" s="1">
        <v>-14.654782290734</v>
      </c>
      <c r="AC15" s="1">
        <v>-35.052913665771399</v>
      </c>
      <c r="AD15" s="1">
        <v>-7.0103158950805602</v>
      </c>
      <c r="AE15" s="1">
        <v>-7.0103158950805602</v>
      </c>
      <c r="AF15" s="1">
        <f t="shared" si="0"/>
        <v>-0.96873855590820313</v>
      </c>
      <c r="AG15" s="1">
        <f t="shared" si="1"/>
        <v>-0.51600265502930043</v>
      </c>
      <c r="AH15" s="1">
        <f t="shared" si="2"/>
        <v>-0.32915973663330078</v>
      </c>
      <c r="AI15" s="2">
        <f t="shared" si="3"/>
        <v>-2.1703252680441328E-2</v>
      </c>
      <c r="AJ15" s="2">
        <f t="shared" si="4"/>
        <v>-1.873165065548401E-2</v>
      </c>
      <c r="AK15" s="2">
        <f t="shared" si="5"/>
        <v>-2.3657375776312519E-2</v>
      </c>
      <c r="AL15" s="1"/>
    </row>
    <row r="16" spans="1:38" x14ac:dyDescent="0.45">
      <c r="A16">
        <v>15</v>
      </c>
      <c r="B16">
        <v>44.951118469238203</v>
      </c>
      <c r="C16">
        <v>-3.6675601005554199</v>
      </c>
      <c r="D16">
        <v>27.741802215576101</v>
      </c>
      <c r="E16">
        <v>15.6106395721435</v>
      </c>
      <c r="F16">
        <v>14.011960029601999</v>
      </c>
      <c r="G16">
        <v>4.7020001411437899</v>
      </c>
      <c r="H16" t="s">
        <v>26</v>
      </c>
      <c r="I16">
        <v>39.421368000000001</v>
      </c>
      <c r="J16">
        <v>7.8839740000000003</v>
      </c>
      <c r="K16">
        <v>1.00843906402587</v>
      </c>
      <c r="L16">
        <v>-9.7419834195706194</v>
      </c>
      <c r="M16">
        <v>1.03576576709747</v>
      </c>
      <c r="N16">
        <v>-14.233435601218</v>
      </c>
      <c r="O16">
        <v>1.0165107250213601</v>
      </c>
      <c r="P16">
        <v>1.0165107250213601</v>
      </c>
      <c r="Q16" s="1">
        <v>43.836681365966797</v>
      </c>
      <c r="R16" s="1">
        <v>-3.4328136444091699</v>
      </c>
      <c r="S16" s="1">
        <v>27.147537231445298</v>
      </c>
      <c r="T16" s="1">
        <v>14.467054367065399</v>
      </c>
      <c r="U16" s="1">
        <v>13.6354761123657</v>
      </c>
      <c r="V16" s="1">
        <v>4.2565321922302202</v>
      </c>
      <c r="W16" s="1">
        <v>0.98640441894531194</v>
      </c>
      <c r="X16" s="1">
        <v>-9.3761525081002706</v>
      </c>
      <c r="Y16" s="1">
        <v>1.01474905014038</v>
      </c>
      <c r="Z16" s="1">
        <v>-13.8350024890148</v>
      </c>
      <c r="AA16" s="1">
        <v>0.99060821533203103</v>
      </c>
      <c r="AB16" s="1">
        <v>-14.706773691138</v>
      </c>
      <c r="AC16" s="1">
        <v>-39.421367645263601</v>
      </c>
      <c r="AD16" s="1">
        <v>-7.8839740753173801</v>
      </c>
      <c r="AE16" s="1">
        <v>-7.8839740753173801</v>
      </c>
      <c r="AF16" s="1">
        <f t="shared" si="0"/>
        <v>-1.1144371032714062</v>
      </c>
      <c r="AG16" s="1">
        <f t="shared" si="1"/>
        <v>-0.59426498413080253</v>
      </c>
      <c r="AH16" s="1">
        <f t="shared" si="2"/>
        <v>-0.3764839172362997</v>
      </c>
      <c r="AI16" s="2">
        <f t="shared" si="3"/>
        <v>-2.4792199643131434E-2</v>
      </c>
      <c r="AJ16" s="2">
        <f t="shared" si="4"/>
        <v>-2.1421282565310139E-2</v>
      </c>
      <c r="AK16" s="2">
        <f t="shared" si="5"/>
        <v>-2.6868754723888083E-2</v>
      </c>
      <c r="AL16" s="1"/>
    </row>
    <row r="17" spans="1:38" x14ac:dyDescent="0.45">
      <c r="A17">
        <v>16</v>
      </c>
      <c r="B17">
        <v>45.859321594238203</v>
      </c>
      <c r="C17">
        <v>-3.7416598796844398</v>
      </c>
      <c r="D17">
        <v>28.302299499511701</v>
      </c>
      <c r="E17">
        <v>15.926038742065399</v>
      </c>
      <c r="F17">
        <v>14.2950592041015</v>
      </c>
      <c r="G17">
        <v>4.7969999313354403</v>
      </c>
      <c r="H17" t="s">
        <v>26</v>
      </c>
      <c r="I17">
        <v>44.579303999999901</v>
      </c>
      <c r="J17">
        <v>8.9155219999999993</v>
      </c>
      <c r="K17">
        <v>1.0076440572738601</v>
      </c>
      <c r="L17">
        <v>-9.9747759052568608</v>
      </c>
      <c r="M17">
        <v>1.0347818136215201</v>
      </c>
      <c r="N17">
        <v>-14.5589683962428</v>
      </c>
      <c r="O17">
        <v>1.0153677463531401</v>
      </c>
      <c r="P17">
        <v>1.0153677463531401</v>
      </c>
      <c r="Q17" s="1">
        <v>44.536251068115199</v>
      </c>
      <c r="R17" s="1">
        <v>-3.4572834968566801</v>
      </c>
      <c r="S17" s="1">
        <v>27.600925445556602</v>
      </c>
      <c r="T17" s="1">
        <v>14.576101303100501</v>
      </c>
      <c r="U17" s="1">
        <v>13.854763031005801</v>
      </c>
      <c r="V17" s="1">
        <v>4.2758474349975497</v>
      </c>
      <c r="W17" s="1">
        <v>0.98146528005599898</v>
      </c>
      <c r="X17" s="1">
        <v>-9.5513579608574499</v>
      </c>
      <c r="Y17" s="1">
        <v>1.01048612594604</v>
      </c>
      <c r="Z17" s="1">
        <v>-14.102655406747401</v>
      </c>
      <c r="AA17" s="1">
        <v>0.98570084571838301</v>
      </c>
      <c r="AB17" s="1">
        <v>-14.9760965901368</v>
      </c>
      <c r="AC17" s="1">
        <v>-44.579303741455</v>
      </c>
      <c r="AD17" s="1">
        <v>-8.9155216217040998</v>
      </c>
      <c r="AE17" s="1">
        <v>-8.9155216217040998</v>
      </c>
      <c r="AF17" s="1">
        <f t="shared" si="0"/>
        <v>-1.3230705261230042</v>
      </c>
      <c r="AG17" s="1">
        <f t="shared" si="1"/>
        <v>-0.70137405395509944</v>
      </c>
      <c r="AH17" s="1">
        <f t="shared" si="2"/>
        <v>-0.44029617309569957</v>
      </c>
      <c r="AI17" s="2">
        <f t="shared" si="3"/>
        <v>-2.8850634508497303E-2</v>
      </c>
      <c r="AJ17" s="2">
        <f t="shared" si="4"/>
        <v>-2.4781521867762026E-2</v>
      </c>
      <c r="AK17" s="2">
        <f t="shared" si="5"/>
        <v>-3.0800584090576621E-2</v>
      </c>
      <c r="AL17" s="1"/>
    </row>
    <row r="18" spans="1:38" x14ac:dyDescent="0.45">
      <c r="A18">
        <v>17</v>
      </c>
      <c r="B18">
        <v>47.2407417297363</v>
      </c>
      <c r="C18">
        <v>-3.8543701171875</v>
      </c>
      <c r="D18">
        <v>29.154850006103501</v>
      </c>
      <c r="E18">
        <v>16.4057807922363</v>
      </c>
      <c r="F18">
        <v>14.725669860839799</v>
      </c>
      <c r="G18">
        <v>4.9415001869201598</v>
      </c>
      <c r="H18" t="s">
        <v>26</v>
      </c>
      <c r="I18">
        <v>49.210920000000002</v>
      </c>
      <c r="J18">
        <v>9.8418100000000006</v>
      </c>
      <c r="K18">
        <v>1.00643718242645</v>
      </c>
      <c r="L18">
        <v>-10.3292132073211</v>
      </c>
      <c r="M18">
        <v>1.03328132629394</v>
      </c>
      <c r="N18">
        <v>-15.0549374643963</v>
      </c>
      <c r="O18">
        <v>1.0136250257492001</v>
      </c>
      <c r="P18">
        <v>1.0136250257492001</v>
      </c>
      <c r="Q18" s="1">
        <v>45.683544158935497</v>
      </c>
      <c r="R18" s="1">
        <v>-3.5142869949340798</v>
      </c>
      <c r="S18" s="1">
        <v>28.338277816772401</v>
      </c>
      <c r="T18" s="1">
        <v>14.832403182983301</v>
      </c>
      <c r="U18" s="1">
        <v>14.217779159545801</v>
      </c>
      <c r="V18" s="1">
        <v>4.33941173553466</v>
      </c>
      <c r="W18" s="1">
        <v>0.97605240345001198</v>
      </c>
      <c r="X18" s="1">
        <v>-9.8522858529618293</v>
      </c>
      <c r="Y18" s="1">
        <v>1.0058555603027299</v>
      </c>
      <c r="Z18" s="1">
        <v>-14.5479478859233</v>
      </c>
      <c r="AA18" s="1">
        <v>0.98045241832733099</v>
      </c>
      <c r="AB18" s="1">
        <v>-15.440715089733599</v>
      </c>
      <c r="AC18" s="1">
        <v>-49.210918426513601</v>
      </c>
      <c r="AD18" s="1">
        <v>-9.8418102264404297</v>
      </c>
      <c r="AE18" s="1">
        <v>-9.8418102264404297</v>
      </c>
      <c r="AF18" s="1">
        <f t="shared" si="0"/>
        <v>-1.5571975708008026</v>
      </c>
      <c r="AG18" s="1">
        <f t="shared" si="1"/>
        <v>-0.81657218933110087</v>
      </c>
      <c r="AH18" s="1">
        <f t="shared" si="2"/>
        <v>-0.5078907012939986</v>
      </c>
      <c r="AI18" s="2">
        <f t="shared" si="3"/>
        <v>-3.2963021192798168E-2</v>
      </c>
      <c r="AJ18" s="2">
        <f t="shared" si="4"/>
        <v>-2.8008108056126281E-2</v>
      </c>
      <c r="AK18" s="2">
        <f t="shared" si="5"/>
        <v>-3.4490159435438664E-2</v>
      </c>
      <c r="AL18" s="1"/>
    </row>
    <row r="19" spans="1:38" x14ac:dyDescent="0.45">
      <c r="A19">
        <v>18</v>
      </c>
      <c r="B19">
        <v>47.799999237060497</v>
      </c>
      <c r="C19">
        <v>-3.9000000953674299</v>
      </c>
      <c r="D19">
        <v>29.4999980926513</v>
      </c>
      <c r="E19">
        <v>16.600000381469702</v>
      </c>
      <c r="F19">
        <v>14.8999986648559</v>
      </c>
      <c r="G19">
        <v>5</v>
      </c>
      <c r="H19" t="s">
        <v>26</v>
      </c>
      <c r="I19">
        <v>51.895151999999896</v>
      </c>
      <c r="J19">
        <v>10.378636</v>
      </c>
      <c r="K19">
        <v>1.00594234466552</v>
      </c>
      <c r="L19">
        <v>-10.4732499453097</v>
      </c>
      <c r="M19">
        <v>1.03266930580139</v>
      </c>
      <c r="N19">
        <v>-15.256469027759399</v>
      </c>
      <c r="O19">
        <v>1.0129156112670801</v>
      </c>
      <c r="P19">
        <v>1.0129156112670801</v>
      </c>
      <c r="Q19" s="1">
        <v>46.118629455566399</v>
      </c>
      <c r="R19" s="1">
        <v>-3.5302829742431601</v>
      </c>
      <c r="S19" s="1">
        <v>28.620559692382798</v>
      </c>
      <c r="T19" s="1">
        <v>14.905082702636699</v>
      </c>
      <c r="U19" s="1">
        <v>14.354814529418899</v>
      </c>
      <c r="V19" s="1">
        <v>4.3534588813781703</v>
      </c>
      <c r="W19" s="1">
        <v>0.97329038381576505</v>
      </c>
      <c r="X19" s="1">
        <v>-9.9669689989691896</v>
      </c>
      <c r="Y19" s="1">
        <v>1.00349140167236</v>
      </c>
      <c r="Z19" s="1">
        <v>-14.7213561451399</v>
      </c>
      <c r="AA19" s="1">
        <v>0.97774356603622403</v>
      </c>
      <c r="AB19" s="1">
        <v>-15.6177928681129</v>
      </c>
      <c r="AC19" s="1">
        <v>-51.895153045654297</v>
      </c>
      <c r="AD19" s="1">
        <v>-10.3786363601684</v>
      </c>
      <c r="AE19" s="1">
        <v>-10.3786363601684</v>
      </c>
      <c r="AF19" s="1">
        <f t="shared" si="0"/>
        <v>-1.681369781494098</v>
      </c>
      <c r="AG19" s="1">
        <f t="shared" si="1"/>
        <v>-0.8794384002685014</v>
      </c>
      <c r="AH19" s="1">
        <f t="shared" si="2"/>
        <v>-0.54518413543700106</v>
      </c>
      <c r="AI19" s="2">
        <f t="shared" si="3"/>
        <v>-3.5175100592689787E-2</v>
      </c>
      <c r="AJ19" s="2">
        <f t="shared" si="4"/>
        <v>-2.9811473123029692E-2</v>
      </c>
      <c r="AK19" s="2">
        <f t="shared" si="5"/>
        <v>-3.6589542569752546E-2</v>
      </c>
      <c r="AL19" s="1"/>
    </row>
    <row r="20" spans="1:38" x14ac:dyDescent="0.45">
      <c r="A20">
        <v>19</v>
      </c>
      <c r="B20">
        <v>47.637481689453097</v>
      </c>
      <c r="C20">
        <v>-3.88673996925354</v>
      </c>
      <c r="D20">
        <v>29.3996982574462</v>
      </c>
      <c r="E20">
        <v>16.543560028076101</v>
      </c>
      <c r="F20">
        <v>14.849340438842701</v>
      </c>
      <c r="G20">
        <v>4.9829998016357404</v>
      </c>
      <c r="H20" t="s">
        <v>26</v>
      </c>
      <c r="I20">
        <v>52.579367999999903</v>
      </c>
      <c r="J20">
        <v>10.515473999999999</v>
      </c>
      <c r="K20">
        <v>1.00608646869659</v>
      </c>
      <c r="L20">
        <v>-10.431360394774</v>
      </c>
      <c r="M20">
        <v>1.03284752368927</v>
      </c>
      <c r="N20">
        <v>-15.1978608815407</v>
      </c>
      <c r="O20">
        <v>1.0131219625473</v>
      </c>
      <c r="P20">
        <v>1.0131219625473</v>
      </c>
      <c r="Q20" s="1">
        <v>45.9461250305175</v>
      </c>
      <c r="R20" s="1">
        <v>-3.5146129131317099</v>
      </c>
      <c r="S20" s="1">
        <v>28.512609481811499</v>
      </c>
      <c r="T20" s="1">
        <v>14.8346767425537</v>
      </c>
      <c r="U20" s="1">
        <v>14.299064636230399</v>
      </c>
      <c r="V20" s="1">
        <v>4.3307957649230904</v>
      </c>
      <c r="W20" s="1">
        <v>0.973094642162323</v>
      </c>
      <c r="X20" s="1">
        <v>-9.9191354762578001</v>
      </c>
      <c r="Y20" s="1">
        <v>1.0033100843429501</v>
      </c>
      <c r="Z20" s="1">
        <v>-14.6558563379901</v>
      </c>
      <c r="AA20" s="1">
        <v>0.97749257087707497</v>
      </c>
      <c r="AB20" s="1">
        <v>-15.5435777395081</v>
      </c>
      <c r="AC20" s="1">
        <v>-52.579368591308501</v>
      </c>
      <c r="AD20" s="1">
        <v>-10.515474319458001</v>
      </c>
      <c r="AE20" s="1">
        <v>-10.515474319458001</v>
      </c>
      <c r="AF20" s="1">
        <f t="shared" si="0"/>
        <v>-1.6913566589355966</v>
      </c>
      <c r="AG20" s="1">
        <f t="shared" si="1"/>
        <v>-0.88708877563470168</v>
      </c>
      <c r="AH20" s="1">
        <f t="shared" si="2"/>
        <v>-0.55027580261230113</v>
      </c>
      <c r="AI20" s="2">
        <f t="shared" si="3"/>
        <v>-3.5504745401142013E-2</v>
      </c>
      <c r="AJ20" s="2">
        <f t="shared" si="4"/>
        <v>-3.0173397286825027E-2</v>
      </c>
      <c r="AK20" s="2">
        <f t="shared" si="5"/>
        <v>-3.7057255497550401E-2</v>
      </c>
      <c r="AL20" s="1"/>
    </row>
    <row r="21" spans="1:38" x14ac:dyDescent="0.45">
      <c r="A21">
        <v>20</v>
      </c>
      <c r="B21">
        <v>47.116458892822202</v>
      </c>
      <c r="C21">
        <v>-3.8442299365997301</v>
      </c>
      <c r="D21">
        <v>29.078149795532202</v>
      </c>
      <c r="E21">
        <v>16.3626194000244</v>
      </c>
      <c r="F21">
        <v>14.6869297027587</v>
      </c>
      <c r="G21">
        <v>4.9285001754760698</v>
      </c>
      <c r="H21" t="s">
        <v>26</v>
      </c>
      <c r="I21">
        <v>52.631999999999998</v>
      </c>
      <c r="J21">
        <v>10.526</v>
      </c>
      <c r="K21">
        <v>1.00654673576354</v>
      </c>
      <c r="L21">
        <v>-10.297247921733801</v>
      </c>
      <c r="M21">
        <v>1.0334169864654501</v>
      </c>
      <c r="N21">
        <v>-15.010211677783699</v>
      </c>
      <c r="O21">
        <v>1.01378238201141</v>
      </c>
      <c r="P21">
        <v>1.01378238201141</v>
      </c>
      <c r="Q21" s="1">
        <v>45.460845947265597</v>
      </c>
      <c r="R21" s="1">
        <v>-3.4805834293365399</v>
      </c>
      <c r="S21" s="1">
        <v>28.204748153686499</v>
      </c>
      <c r="T21" s="1">
        <v>14.681591033935501</v>
      </c>
      <c r="U21" s="1">
        <v>14.1438293457031</v>
      </c>
      <c r="V21" s="1">
        <v>4.2855477333068803</v>
      </c>
      <c r="W21" s="1">
        <v>0.97392731904983498</v>
      </c>
      <c r="X21" s="1">
        <v>-9.7871207250842396</v>
      </c>
      <c r="Y21" s="1">
        <v>1.0039985179901101</v>
      </c>
      <c r="Z21" s="1">
        <v>-14.4680824832797</v>
      </c>
      <c r="AA21" s="1">
        <v>0.97820681333541804</v>
      </c>
      <c r="AB21" s="1">
        <v>-15.3390733362835</v>
      </c>
      <c r="AC21" s="1">
        <v>-52.631996154785099</v>
      </c>
      <c r="AD21" s="1">
        <v>-10.5260000228881</v>
      </c>
      <c r="AE21" s="1">
        <v>-10.5260000228881</v>
      </c>
      <c r="AF21" s="1">
        <f t="shared" si="0"/>
        <v>-1.6556129455566051</v>
      </c>
      <c r="AG21" s="1">
        <f t="shared" si="1"/>
        <v>-0.87340164184570313</v>
      </c>
      <c r="AH21" s="1">
        <f t="shared" si="2"/>
        <v>-0.54310035705560011</v>
      </c>
      <c r="AI21" s="2">
        <f t="shared" si="3"/>
        <v>-3.5138738870904913E-2</v>
      </c>
      <c r="AJ21" s="2">
        <f t="shared" si="4"/>
        <v>-3.0036355407313416E-2</v>
      </c>
      <c r="AK21" s="2">
        <f t="shared" si="5"/>
        <v>-3.6978481414913257E-2</v>
      </c>
      <c r="AL21" s="1"/>
    </row>
    <row r="22" spans="1:38" x14ac:dyDescent="0.45">
      <c r="A22">
        <v>21</v>
      </c>
      <c r="B22">
        <v>45.983600616455</v>
      </c>
      <c r="C22">
        <v>-3.7518002986907901</v>
      </c>
      <c r="D22">
        <v>28.378999710083001</v>
      </c>
      <c r="E22">
        <v>15.969200134277299</v>
      </c>
      <c r="F22">
        <v>14.3338012695312</v>
      </c>
      <c r="G22">
        <v>4.8099999427795401</v>
      </c>
      <c r="H22" t="s">
        <v>26</v>
      </c>
      <c r="I22">
        <v>52.631999999999998</v>
      </c>
      <c r="J22">
        <v>10.526</v>
      </c>
      <c r="K22">
        <v>1.0075364112853999</v>
      </c>
      <c r="L22">
        <v>-10.0065849502655</v>
      </c>
      <c r="M22">
        <v>1.0346474647521899</v>
      </c>
      <c r="N22">
        <v>-14.6034807394421</v>
      </c>
      <c r="O22">
        <v>1.0152115821838299</v>
      </c>
      <c r="P22">
        <v>1.0152115821838299</v>
      </c>
      <c r="Q22" s="1">
        <v>44.407665252685497</v>
      </c>
      <c r="R22" s="1">
        <v>-3.4070141315460201</v>
      </c>
      <c r="S22" s="1">
        <v>27.536973953246999</v>
      </c>
      <c r="T22" s="1">
        <v>14.3515825271606</v>
      </c>
      <c r="U22" s="1">
        <v>13.807410240173301</v>
      </c>
      <c r="V22" s="1">
        <v>4.1883611679077104</v>
      </c>
      <c r="W22" s="1">
        <v>0.97580021619796697</v>
      </c>
      <c r="X22" s="1">
        <v>-9.5023701361665101</v>
      </c>
      <c r="Y22" s="1">
        <v>1.00555455684661</v>
      </c>
      <c r="Z22" s="1">
        <v>-14.062636474286601</v>
      </c>
      <c r="AA22" s="1">
        <v>0.97983407974243097</v>
      </c>
      <c r="AB22" s="1">
        <v>-14.8979950838613</v>
      </c>
      <c r="AC22" s="1">
        <v>-52.631996154785099</v>
      </c>
      <c r="AD22" s="1">
        <v>-10.5260000228881</v>
      </c>
      <c r="AE22" s="1">
        <v>-10.5260000228881</v>
      </c>
      <c r="AF22" s="1">
        <f t="shared" si="0"/>
        <v>-1.5759353637695028</v>
      </c>
      <c r="AG22" s="1">
        <f t="shared" si="1"/>
        <v>-0.84202575683600145</v>
      </c>
      <c r="AH22" s="1">
        <f t="shared" si="2"/>
        <v>-0.5263910293578995</v>
      </c>
      <c r="AI22" s="2">
        <f t="shared" si="3"/>
        <v>-3.4271682570363192E-2</v>
      </c>
      <c r="AJ22" s="2">
        <f t="shared" si="4"/>
        <v>-2.9670734185068243E-2</v>
      </c>
      <c r="AK22" s="2">
        <f t="shared" si="5"/>
        <v>-3.6723756626710617E-2</v>
      </c>
      <c r="AL22" s="1"/>
    </row>
    <row r="23" spans="1:38" x14ac:dyDescent="0.45">
      <c r="A23">
        <v>22</v>
      </c>
      <c r="B23">
        <v>43.684421539306598</v>
      </c>
      <c r="C23">
        <v>-3.5642099380493102</v>
      </c>
      <c r="D23">
        <v>26.9600505828857</v>
      </c>
      <c r="E23">
        <v>15.1707391738891</v>
      </c>
      <c r="F23">
        <v>13.6171102523803</v>
      </c>
      <c r="G23">
        <v>4.5694999694824201</v>
      </c>
      <c r="H23" t="s">
        <v>26</v>
      </c>
      <c r="I23">
        <v>52.631999999999998</v>
      </c>
      <c r="J23">
        <v>10.526</v>
      </c>
      <c r="K23">
        <v>1.00950932502746</v>
      </c>
      <c r="L23">
        <v>-9.4199929314342103</v>
      </c>
      <c r="M23">
        <v>1.03711581230163</v>
      </c>
      <c r="N23">
        <v>-13.782689215943501</v>
      </c>
      <c r="O23">
        <v>1.01808762550354</v>
      </c>
      <c r="P23">
        <v>1.01808762550354</v>
      </c>
      <c r="Q23" s="1">
        <v>42.262920379638601</v>
      </c>
      <c r="R23" s="1">
        <v>-3.2557697296142498</v>
      </c>
      <c r="S23" s="1">
        <v>26.179811477661101</v>
      </c>
      <c r="T23" s="1">
        <v>13.6773986816406</v>
      </c>
      <c r="U23" s="1">
        <v>13.1239805221557</v>
      </c>
      <c r="V23" s="1">
        <v>3.9899926185607901</v>
      </c>
      <c r="W23" s="1">
        <v>0.97953701019287098</v>
      </c>
      <c r="X23" s="1">
        <v>-8.9291610193538595</v>
      </c>
      <c r="Y23" s="1">
        <v>1.0086756944656301</v>
      </c>
      <c r="Z23" s="1">
        <v>-13.2465150926727</v>
      </c>
      <c r="AA23" s="1">
        <v>0.98310816287994296</v>
      </c>
      <c r="AB23" s="1">
        <v>-14.0101481776162</v>
      </c>
      <c r="AC23" s="1">
        <v>-52.631996154785099</v>
      </c>
      <c r="AD23" s="1">
        <v>-10.5260000228881</v>
      </c>
      <c r="AE23" s="1">
        <v>-10.5260000228881</v>
      </c>
      <c r="AF23" s="1">
        <f t="shared" si="0"/>
        <v>-1.4215011596679972</v>
      </c>
      <c r="AG23" s="1">
        <f t="shared" si="1"/>
        <v>-0.78023910522459872</v>
      </c>
      <c r="AH23" s="1">
        <f t="shared" si="2"/>
        <v>-0.49312973022460049</v>
      </c>
      <c r="AI23" s="2">
        <f t="shared" si="3"/>
        <v>-3.2540230809487806E-2</v>
      </c>
      <c r="AJ23" s="2">
        <f t="shared" si="4"/>
        <v>-2.8940565331130954E-2</v>
      </c>
      <c r="AK23" s="2">
        <f t="shared" si="5"/>
        <v>-3.6213977935472791E-2</v>
      </c>
      <c r="AL23" s="1"/>
    </row>
    <row r="24" spans="1:38" x14ac:dyDescent="0.45">
      <c r="A24">
        <v>23</v>
      </c>
      <c r="B24">
        <v>40.854660034179602</v>
      </c>
      <c r="C24">
        <v>-3.33332967758178</v>
      </c>
      <c r="D24">
        <v>25.213649749755799</v>
      </c>
      <c r="E24">
        <v>14.188019752502401</v>
      </c>
      <c r="F24">
        <v>12.7350301742553</v>
      </c>
      <c r="G24">
        <v>4.2734999656677202</v>
      </c>
      <c r="H24" t="s">
        <v>26</v>
      </c>
      <c r="I24">
        <v>52.631999999999998</v>
      </c>
      <c r="J24">
        <v>10.526</v>
      </c>
      <c r="K24">
        <v>1.01184046268463</v>
      </c>
      <c r="L24">
        <v>-8.7058078551807991</v>
      </c>
      <c r="M24">
        <v>1.0400872230529701</v>
      </c>
      <c r="N24">
        <v>-12.782728168614501</v>
      </c>
      <c r="O24">
        <v>1.02157354354858</v>
      </c>
      <c r="P24">
        <v>1.02157354354858</v>
      </c>
      <c r="Q24" s="1">
        <v>39.611507415771399</v>
      </c>
      <c r="R24" s="1">
        <v>-3.06648397445678</v>
      </c>
      <c r="S24" s="1">
        <v>24.506435394287099</v>
      </c>
      <c r="T24" s="1">
        <v>12.8404197692871</v>
      </c>
      <c r="U24" s="1">
        <v>12.2817840576171</v>
      </c>
      <c r="V24" s="1">
        <v>3.7439730167388898</v>
      </c>
      <c r="W24" s="1">
        <v>0.98401969671249301</v>
      </c>
      <c r="X24" s="1">
        <v>-8.2320591001334709</v>
      </c>
      <c r="Y24" s="1">
        <v>1.0124496221542301</v>
      </c>
      <c r="Z24" s="1">
        <v>-12.254074083683699</v>
      </c>
      <c r="AA24" s="1">
        <v>0.987085402011871</v>
      </c>
      <c r="AB24" s="1">
        <v>-12.930495043695201</v>
      </c>
      <c r="AC24" s="1">
        <v>-52.631996154785099</v>
      </c>
      <c r="AD24" s="1">
        <v>-10.5260000228881</v>
      </c>
      <c r="AE24" s="1">
        <v>-10.5260000228881</v>
      </c>
      <c r="AF24" s="1">
        <f t="shared" si="0"/>
        <v>-1.2431526184082031</v>
      </c>
      <c r="AG24" s="1">
        <f t="shared" si="1"/>
        <v>-0.70721435546870026</v>
      </c>
      <c r="AH24" s="1">
        <f t="shared" si="2"/>
        <v>-0.45324611663819958</v>
      </c>
      <c r="AI24" s="2">
        <f t="shared" si="3"/>
        <v>-3.0428661439555822E-2</v>
      </c>
      <c r="AJ24" s="2">
        <f t="shared" si="4"/>
        <v>-2.8048868866180306E-2</v>
      </c>
      <c r="AK24" s="2">
        <f t="shared" si="5"/>
        <v>-3.5590501980471659E-2</v>
      </c>
      <c r="AL24" s="1"/>
    </row>
    <row r="25" spans="1:38" x14ac:dyDescent="0.45">
      <c r="A25">
        <v>24</v>
      </c>
      <c r="B25">
        <v>38.4646606445312</v>
      </c>
      <c r="C25">
        <v>-3.1383297443389799</v>
      </c>
      <c r="D25">
        <v>23.738649368286101</v>
      </c>
      <c r="E25">
        <v>13.358018875121999</v>
      </c>
      <c r="F25">
        <v>11.9900302886962</v>
      </c>
      <c r="G25">
        <v>4.0234999656677202</v>
      </c>
      <c r="H25" t="s">
        <v>26</v>
      </c>
      <c r="I25">
        <v>52.631999999999998</v>
      </c>
      <c r="J25">
        <v>10.526</v>
      </c>
      <c r="K25">
        <v>1.01374471187591</v>
      </c>
      <c r="L25">
        <v>-8.1079776137483108</v>
      </c>
      <c r="M25">
        <v>1.04254829883575</v>
      </c>
      <c r="N25">
        <v>-11.945522846627201</v>
      </c>
      <c r="O25">
        <v>1.0244774818420399</v>
      </c>
      <c r="P25">
        <v>1.0244774818420399</v>
      </c>
      <c r="Q25" s="1">
        <v>37.324680328369098</v>
      </c>
      <c r="R25" s="1">
        <v>-2.8951139450073198</v>
      </c>
      <c r="S25" s="1">
        <v>23.080726623535099</v>
      </c>
      <c r="T25" s="1">
        <v>12.1090908050537</v>
      </c>
      <c r="U25" s="1">
        <v>11.566423416137599</v>
      </c>
      <c r="V25" s="1">
        <v>3.5310275554656898</v>
      </c>
      <c r="W25" s="1">
        <v>0.98672455549240101</v>
      </c>
      <c r="X25" s="1">
        <v>-7.6396861798942002</v>
      </c>
      <c r="Y25" s="1">
        <v>1.0151784420013401</v>
      </c>
      <c r="Z25" s="1">
        <v>-11.416639096583699</v>
      </c>
      <c r="AA25" s="1">
        <v>0.99014973640441895</v>
      </c>
      <c r="AB25" s="1">
        <v>-12.023011343419499</v>
      </c>
      <c r="AC25" s="1">
        <v>-52.631996154785099</v>
      </c>
      <c r="AD25" s="1">
        <v>-10.5260000228881</v>
      </c>
      <c r="AE25" s="1">
        <v>-10.5260000228881</v>
      </c>
      <c r="AF25" s="1">
        <f t="shared" si="0"/>
        <v>-1.1399803161621023</v>
      </c>
      <c r="AG25" s="1">
        <f t="shared" si="1"/>
        <v>-0.65792274475100143</v>
      </c>
      <c r="AH25" s="1">
        <f t="shared" si="2"/>
        <v>-0.42360687255860086</v>
      </c>
      <c r="AI25" s="2">
        <f t="shared" si="3"/>
        <v>-2.9637082377956234E-2</v>
      </c>
      <c r="AJ25" s="2">
        <f t="shared" si="4"/>
        <v>-2.7715256017469984E-2</v>
      </c>
      <c r="AK25" s="2">
        <f t="shared" si="5"/>
        <v>-3.5329925142721555E-2</v>
      </c>
      <c r="AL25" s="1"/>
    </row>
    <row r="26" spans="1:38" x14ac:dyDescent="0.45"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2"/>
      <c r="AJ26" s="2"/>
      <c r="AK26" s="2"/>
      <c r="AL2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FFF3B-B230-4204-B62E-A70AB83C2BF6}">
  <dimension ref="A1:AL25"/>
  <sheetViews>
    <sheetView zoomScaleNormal="100" workbookViewId="0">
      <selection activeCell="AF2" sqref="AF2:AK2"/>
    </sheetView>
  </sheetViews>
  <sheetFormatPr defaultRowHeight="14.25" x14ac:dyDescent="0.45"/>
  <sheetData>
    <row r="1" spans="1:3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</v>
      </c>
      <c r="R1" s="1" t="s">
        <v>2</v>
      </c>
      <c r="S1" s="1" t="s">
        <v>3</v>
      </c>
      <c r="T1" s="1" t="s">
        <v>4</v>
      </c>
      <c r="U1" s="1" t="s">
        <v>5</v>
      </c>
      <c r="V1" s="1" t="s">
        <v>6</v>
      </c>
      <c r="W1" s="1" t="s">
        <v>10</v>
      </c>
      <c r="X1" s="1" t="s">
        <v>11</v>
      </c>
      <c r="Y1" s="1" t="s">
        <v>12</v>
      </c>
      <c r="Z1" s="1" t="s">
        <v>13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19</v>
      </c>
      <c r="AG1" s="1" t="s">
        <v>20</v>
      </c>
      <c r="AH1" s="1" t="s">
        <v>21</v>
      </c>
      <c r="AI1" s="1" t="s">
        <v>22</v>
      </c>
      <c r="AJ1" s="1" t="s">
        <v>23</v>
      </c>
      <c r="AK1" s="1" t="s">
        <v>24</v>
      </c>
      <c r="AL1" s="1"/>
    </row>
    <row r="2" spans="1:38" x14ac:dyDescent="0.45">
      <c r="A2">
        <v>1</v>
      </c>
      <c r="B2">
        <v>36.882480621337798</v>
      </c>
      <c r="C2">
        <v>-3.0092399120330802</v>
      </c>
      <c r="D2">
        <v>22.762199401855401</v>
      </c>
      <c r="E2">
        <v>12.8085594177246</v>
      </c>
      <c r="F2">
        <v>11.496839523315399</v>
      </c>
      <c r="G2">
        <v>3.85800004005432</v>
      </c>
      <c r="H2" t="s">
        <v>25</v>
      </c>
      <c r="I2">
        <v>52.631999999999998</v>
      </c>
      <c r="J2">
        <v>10.526</v>
      </c>
      <c r="K2">
        <v>1.0149742364883401</v>
      </c>
      <c r="L2">
        <v>-7.7147192236590296</v>
      </c>
      <c r="M2">
        <v>1.0441545248031601</v>
      </c>
      <c r="N2">
        <v>-11.394707358972401</v>
      </c>
      <c r="O2">
        <v>1.0263808965682899</v>
      </c>
      <c r="P2">
        <v>1.0263808965682899</v>
      </c>
      <c r="Q2" s="1">
        <v>35.790187835693303</v>
      </c>
      <c r="R2" s="1">
        <v>-2.7766978740692099</v>
      </c>
      <c r="S2" s="1">
        <v>22.1314983367919</v>
      </c>
      <c r="T2" s="1">
        <v>11.6143436431884</v>
      </c>
      <c r="U2" s="1">
        <v>11.091074943542401</v>
      </c>
      <c r="V2" s="1">
        <v>3.3877990245818999</v>
      </c>
      <c r="W2" s="1">
        <v>0.98796874284744196</v>
      </c>
      <c r="X2" s="1">
        <v>-7.2451292000779501</v>
      </c>
      <c r="Y2" s="1">
        <v>1.01675152778625</v>
      </c>
      <c r="Z2" s="1">
        <v>-10.8617348869022</v>
      </c>
      <c r="AA2" s="1">
        <v>0.99202787876129095</v>
      </c>
      <c r="AB2" s="1">
        <v>-11.4235299037411</v>
      </c>
      <c r="AC2" s="1">
        <v>-52.631996154785099</v>
      </c>
      <c r="AD2" s="1">
        <v>-10.5260000228881</v>
      </c>
      <c r="AE2" s="1">
        <v>-10.5260000228881</v>
      </c>
      <c r="AF2" s="1">
        <f>Q2-B2</f>
        <v>-1.0922927856444957</v>
      </c>
      <c r="AG2" s="1">
        <f>S2-D2</f>
        <v>-0.63070106506350143</v>
      </c>
      <c r="AH2" s="1">
        <f>U2-F2</f>
        <v>-0.40576457977299896</v>
      </c>
      <c r="AI2" s="2">
        <f>AF2/B2</f>
        <v>-2.961549134557306E-2</v>
      </c>
      <c r="AJ2" s="2">
        <f>AG2/D2</f>
        <v>-2.7708265529564402E-2</v>
      </c>
      <c r="AK2" s="2">
        <f>AH2/F2</f>
        <v>-3.5293576025838679E-2</v>
      </c>
      <c r="AL2" s="1"/>
    </row>
    <row r="3" spans="1:38" x14ac:dyDescent="0.45">
      <c r="A3">
        <v>2</v>
      </c>
      <c r="B3">
        <v>35.931259155273402</v>
      </c>
      <c r="C3">
        <v>-2.93162989616394</v>
      </c>
      <c r="D3">
        <v>22.1751499176025</v>
      </c>
      <c r="E3">
        <v>12.4782199859619</v>
      </c>
      <c r="F3">
        <v>11.200329780578601</v>
      </c>
      <c r="G3">
        <v>3.75850009918212</v>
      </c>
      <c r="H3" t="s">
        <v>25</v>
      </c>
      <c r="I3">
        <v>52.631999999999998</v>
      </c>
      <c r="J3">
        <v>10.526</v>
      </c>
      <c r="K3">
        <v>1.0156829357147199</v>
      </c>
      <c r="L3">
        <v>-7.4793466339918897</v>
      </c>
      <c r="M3">
        <v>1.0451024770736601</v>
      </c>
      <c r="N3">
        <v>-11.0650679126742</v>
      </c>
      <c r="O3">
        <v>1.0275118350982599</v>
      </c>
      <c r="P3">
        <v>1.0275118350982599</v>
      </c>
      <c r="Q3" s="1">
        <v>34.868198394775298</v>
      </c>
      <c r="R3" s="1">
        <v>-2.70560622215271</v>
      </c>
      <c r="S3" s="1">
        <v>21.560977935791001</v>
      </c>
      <c r="T3" s="1">
        <v>11.317028045654199</v>
      </c>
      <c r="U3" s="1">
        <v>10.8053340911865</v>
      </c>
      <c r="V3" s="1">
        <v>3.30165362358093</v>
      </c>
      <c r="W3" s="1">
        <v>0.98870354890823298</v>
      </c>
      <c r="X3" s="1">
        <v>-7.0089468061004503</v>
      </c>
      <c r="Y3" s="1">
        <v>1.0176875591278001</v>
      </c>
      <c r="Z3" s="1">
        <v>-10.529501676244699</v>
      </c>
      <c r="AA3" s="1">
        <v>0.99314934015274003</v>
      </c>
      <c r="AB3" s="1">
        <v>-11.064594922070199</v>
      </c>
      <c r="AC3" s="1">
        <v>-52.631996154785099</v>
      </c>
      <c r="AD3" s="1">
        <v>-10.5260000228881</v>
      </c>
      <c r="AE3" s="1">
        <v>-10.5260000228881</v>
      </c>
      <c r="AF3" s="1">
        <f t="shared" ref="AF3:AF25" si="0">Q3-B3</f>
        <v>-1.0630607604981037</v>
      </c>
      <c r="AG3" s="1">
        <f t="shared" ref="AG3:AG25" si="1">S3-D3</f>
        <v>-0.61417198181149857</v>
      </c>
      <c r="AH3" s="1">
        <f t="shared" ref="AH3:AH25" si="2">U3-F3</f>
        <v>-0.3949956893921005</v>
      </c>
      <c r="AI3" s="2">
        <f t="shared" ref="AI3:AI25" si="3">AF3/B3</f>
        <v>-2.9585959008677967E-2</v>
      </c>
      <c r="AJ3" s="2">
        <f t="shared" ref="AJ3:AJ25" si="4">AG3/D3</f>
        <v>-2.7696407198761375E-2</v>
      </c>
      <c r="AK3" s="2">
        <f t="shared" ref="AK3:AK25" si="5">AH3/F3</f>
        <v>-3.5266433857780152E-2</v>
      </c>
      <c r="AL3" s="1"/>
    </row>
    <row r="4" spans="1:38" x14ac:dyDescent="0.45">
      <c r="A4">
        <v>3</v>
      </c>
      <c r="B4">
        <v>35.405460357666001</v>
      </c>
      <c r="C4">
        <v>-2.8887300491332999</v>
      </c>
      <c r="D4">
        <v>21.850650787353501</v>
      </c>
      <c r="E4">
        <v>12.2956199645996</v>
      </c>
      <c r="F4">
        <v>11.036430358886699</v>
      </c>
      <c r="G4">
        <v>3.7035000324249201</v>
      </c>
      <c r="H4" t="s">
        <v>25</v>
      </c>
      <c r="I4">
        <v>52.631999999999998</v>
      </c>
      <c r="J4">
        <v>10.526</v>
      </c>
      <c r="K4">
        <v>1.0159664154052701</v>
      </c>
      <c r="L4">
        <v>-7.34929129335314</v>
      </c>
      <c r="M4">
        <v>1.0455784797668399</v>
      </c>
      <c r="N4">
        <v>-10.8831091103178</v>
      </c>
      <c r="O4">
        <v>1.0281058549880899</v>
      </c>
      <c r="P4">
        <v>1.0281058549880899</v>
      </c>
      <c r="Q4" s="1">
        <v>34.362007141113203</v>
      </c>
      <c r="R4" s="1">
        <v>-2.6670758724212602</v>
      </c>
      <c r="S4" s="1">
        <v>21.2464904785156</v>
      </c>
      <c r="T4" s="1">
        <v>11.1541900634765</v>
      </c>
      <c r="U4" s="1">
        <v>10.647655487060501</v>
      </c>
      <c r="V4" s="1">
        <v>3.2542924880981401</v>
      </c>
      <c r="W4" s="1">
        <v>0.98910278081893899</v>
      </c>
      <c r="X4" s="1">
        <v>-6.8790246541516398</v>
      </c>
      <c r="Y4" s="1">
        <v>1.0181982517242401</v>
      </c>
      <c r="Z4" s="1">
        <v>-10.3467104445761</v>
      </c>
      <c r="AA4" s="1">
        <v>0.993763446807861</v>
      </c>
      <c r="AB4" s="1">
        <v>-10.867111953372</v>
      </c>
      <c r="AC4" s="1">
        <v>-52.631996154785099</v>
      </c>
      <c r="AD4" s="1">
        <v>-10.5260000228881</v>
      </c>
      <c r="AE4" s="1">
        <v>-10.5260000228881</v>
      </c>
      <c r="AF4" s="1">
        <f t="shared" si="0"/>
        <v>-1.0434532165527983</v>
      </c>
      <c r="AG4" s="1">
        <f t="shared" si="1"/>
        <v>-0.60416030883790128</v>
      </c>
      <c r="AH4" s="1">
        <f t="shared" si="2"/>
        <v>-0.38877487182619852</v>
      </c>
      <c r="AI4" s="2">
        <f t="shared" si="3"/>
        <v>-2.9471533656442613E-2</v>
      </c>
      <c r="AJ4" s="2">
        <f t="shared" si="4"/>
        <v>-2.7649533861369983E-2</v>
      </c>
      <c r="AK4" s="2">
        <f t="shared" si="5"/>
        <v>-3.5226505236192709E-2</v>
      </c>
      <c r="AL4" s="1"/>
    </row>
    <row r="5" spans="1:38" x14ac:dyDescent="0.45">
      <c r="A5">
        <v>4</v>
      </c>
      <c r="B5">
        <v>35.362438201904297</v>
      </c>
      <c r="C5">
        <v>-2.88522005081176</v>
      </c>
      <c r="D5">
        <v>21.824100494384702</v>
      </c>
      <c r="E5">
        <v>12.2806797027587</v>
      </c>
      <c r="F5">
        <v>11.0230197906494</v>
      </c>
      <c r="G5">
        <v>3.6989998817443799</v>
      </c>
      <c r="H5" t="s">
        <v>25</v>
      </c>
      <c r="I5">
        <v>52.631999999999998</v>
      </c>
      <c r="J5">
        <v>10.526</v>
      </c>
      <c r="K5">
        <v>1.0159894227981501</v>
      </c>
      <c r="L5">
        <v>-7.3386566887250497</v>
      </c>
      <c r="M5">
        <v>1.0456173419952299</v>
      </c>
      <c r="N5">
        <v>-10.868230396858101</v>
      </c>
      <c r="O5">
        <v>1.02815449237823</v>
      </c>
      <c r="P5">
        <v>1.02815449237823</v>
      </c>
      <c r="Q5" s="1">
        <v>34.320579528808501</v>
      </c>
      <c r="R5" s="1">
        <v>-2.6639220714568999</v>
      </c>
      <c r="S5" s="1">
        <v>21.220758438110298</v>
      </c>
      <c r="T5" s="1">
        <v>11.1408672332763</v>
      </c>
      <c r="U5" s="1">
        <v>10.634752273559499</v>
      </c>
      <c r="V5" s="1">
        <v>3.25041556358337</v>
      </c>
      <c r="W5" s="1">
        <v>0.98913532495498602</v>
      </c>
      <c r="X5" s="1">
        <v>-6.8684037099020099</v>
      </c>
      <c r="Y5" s="1">
        <v>1.0182399749755799</v>
      </c>
      <c r="Z5" s="1">
        <v>-10.3317668443188</v>
      </c>
      <c r="AA5" s="1">
        <v>0.99381363391876198</v>
      </c>
      <c r="AB5" s="1">
        <v>-10.8509662398105</v>
      </c>
      <c r="AC5" s="1">
        <v>-52.631996154785099</v>
      </c>
      <c r="AD5" s="1">
        <v>-10.5260000228881</v>
      </c>
      <c r="AE5" s="1">
        <v>-10.5260000228881</v>
      </c>
      <c r="AF5" s="1">
        <f t="shared" si="0"/>
        <v>-1.0418586730957955</v>
      </c>
      <c r="AG5" s="1">
        <f t="shared" si="1"/>
        <v>-0.6033420562744034</v>
      </c>
      <c r="AH5" s="1">
        <f t="shared" si="2"/>
        <v>-0.38826751708990059</v>
      </c>
      <c r="AI5" s="2">
        <f t="shared" si="3"/>
        <v>-2.9462297456618547E-2</v>
      </c>
      <c r="AJ5" s="2">
        <f t="shared" si="4"/>
        <v>-2.7645678062637319E-2</v>
      </c>
      <c r="AK5" s="2">
        <f t="shared" si="5"/>
        <v>-3.5223334845072118E-2</v>
      </c>
      <c r="AL5" s="1"/>
    </row>
    <row r="6" spans="1:38" x14ac:dyDescent="0.45">
      <c r="A6">
        <v>5</v>
      </c>
      <c r="B6">
        <v>36.151138305663999</v>
      </c>
      <c r="C6">
        <v>-2.9495699405670099</v>
      </c>
      <c r="D6">
        <v>22.310850143432599</v>
      </c>
      <c r="E6">
        <v>12.5545797348022</v>
      </c>
      <c r="F6">
        <v>11.2688703536987</v>
      </c>
      <c r="G6">
        <v>3.78150010108947</v>
      </c>
      <c r="H6" t="s">
        <v>25</v>
      </c>
      <c r="I6">
        <v>52.631999999999998</v>
      </c>
      <c r="J6">
        <v>10.526</v>
      </c>
      <c r="K6">
        <v>1.0155328512191699</v>
      </c>
      <c r="L6">
        <v>-7.5337294543993396</v>
      </c>
      <c r="M6">
        <v>1.04488956928253</v>
      </c>
      <c r="N6">
        <v>-11.1412134235095</v>
      </c>
      <c r="O6">
        <v>1.02725434303283</v>
      </c>
      <c r="P6">
        <v>1.02725434303283</v>
      </c>
      <c r="Q6" s="1">
        <v>35.080886840820298</v>
      </c>
      <c r="R6" s="1">
        <v>-2.7219436168670601</v>
      </c>
      <c r="S6" s="1">
        <v>21.692745208740199</v>
      </c>
      <c r="T6" s="1">
        <v>11.3855695724487</v>
      </c>
      <c r="U6" s="1">
        <v>10.871354103088301</v>
      </c>
      <c r="V6" s="1">
        <v>3.3215382099151598</v>
      </c>
      <c r="W6" s="1">
        <v>0.98853492736816395</v>
      </c>
      <c r="X6" s="1">
        <v>-7.06343506755411</v>
      </c>
      <c r="Y6" s="1">
        <v>1.01747226715087</v>
      </c>
      <c r="Z6" s="1">
        <v>-10.606150059761999</v>
      </c>
      <c r="AA6" s="1">
        <v>0.99289107322692804</v>
      </c>
      <c r="AB6" s="1">
        <v>-11.1473998674029</v>
      </c>
      <c r="AC6" s="1">
        <v>-52.631996154785099</v>
      </c>
      <c r="AD6" s="1">
        <v>-10.5260000228881</v>
      </c>
      <c r="AE6" s="1">
        <v>-10.5260000228881</v>
      </c>
      <c r="AF6" s="1">
        <f t="shared" si="0"/>
        <v>-1.0702514648437003</v>
      </c>
      <c r="AG6" s="1">
        <f t="shared" si="1"/>
        <v>-0.61810493469240058</v>
      </c>
      <c r="AH6" s="1">
        <f t="shared" si="2"/>
        <v>-0.39751625061039952</v>
      </c>
      <c r="AI6" s="2">
        <f t="shared" si="3"/>
        <v>-2.9604917438409348E-2</v>
      </c>
      <c r="AJ6" s="2">
        <f t="shared" si="4"/>
        <v>-2.7704230485109747E-2</v>
      </c>
      <c r="AK6" s="2">
        <f t="shared" si="5"/>
        <v>-3.5275607770207919E-2</v>
      </c>
      <c r="AL6" s="1"/>
    </row>
    <row r="7" spans="1:38" x14ac:dyDescent="0.45">
      <c r="A7">
        <v>6</v>
      </c>
      <c r="B7">
        <v>38.173080444335902</v>
      </c>
      <c r="C7">
        <v>-3.11454010009765</v>
      </c>
      <c r="D7">
        <v>23.558700561523398</v>
      </c>
      <c r="E7">
        <v>13.2567596435546</v>
      </c>
      <c r="F7">
        <v>11.899140357971101</v>
      </c>
      <c r="G7">
        <v>3.9930000305175701</v>
      </c>
      <c r="H7" t="s">
        <v>25</v>
      </c>
      <c r="I7">
        <v>52.631999999999998</v>
      </c>
      <c r="J7">
        <v>10.526</v>
      </c>
      <c r="K7">
        <v>1.0139729976653999</v>
      </c>
      <c r="L7">
        <v>-8.0353658720648298</v>
      </c>
      <c r="M7">
        <v>1.04284560680389</v>
      </c>
      <c r="N7">
        <v>-11.843828159210601</v>
      </c>
      <c r="O7">
        <v>1.0248292684555</v>
      </c>
      <c r="P7">
        <v>1.0248292684555</v>
      </c>
      <c r="Q7" s="1">
        <v>37.041900634765597</v>
      </c>
      <c r="R7" s="1">
        <v>-2.8732991218566801</v>
      </c>
      <c r="S7" s="1">
        <v>22.905796051025298</v>
      </c>
      <c r="T7" s="1">
        <v>12.017940521240201</v>
      </c>
      <c r="U7" s="1">
        <v>11.478827476501399</v>
      </c>
      <c r="V7" s="1">
        <v>3.5046498775482098</v>
      </c>
      <c r="W7" s="1">
        <v>0.98695582151412897</v>
      </c>
      <c r="X7" s="1">
        <v>-7.5668165985673603</v>
      </c>
      <c r="Y7" s="1">
        <v>1.01546967029571</v>
      </c>
      <c r="Z7" s="1">
        <v>-11.3141606449532</v>
      </c>
      <c r="AA7" s="1">
        <v>0.99049699306488004</v>
      </c>
      <c r="AB7" s="1">
        <v>-11.9122973911273</v>
      </c>
      <c r="AC7" s="1">
        <v>-52.631996154785099</v>
      </c>
      <c r="AD7" s="1">
        <v>-10.5260000228881</v>
      </c>
      <c r="AE7" s="1">
        <v>-10.5260000228881</v>
      </c>
      <c r="AF7" s="1">
        <f t="shared" si="0"/>
        <v>-1.1311798095703054</v>
      </c>
      <c r="AG7" s="1">
        <f t="shared" si="1"/>
        <v>-0.65290451049810017</v>
      </c>
      <c r="AH7" s="1">
        <f t="shared" si="2"/>
        <v>-0.42031288146970169</v>
      </c>
      <c r="AI7" s="2">
        <f t="shared" si="3"/>
        <v>-2.9632919230078776E-2</v>
      </c>
      <c r="AJ7" s="2">
        <f t="shared" si="4"/>
        <v>-2.7713944102861026E-2</v>
      </c>
      <c r="AK7" s="2">
        <f t="shared" si="5"/>
        <v>-3.5322961896834738E-2</v>
      </c>
      <c r="AL7" s="1"/>
    </row>
    <row r="8" spans="1:38" x14ac:dyDescent="0.45">
      <c r="A8">
        <v>7</v>
      </c>
      <c r="B8">
        <v>41.232280731201101</v>
      </c>
      <c r="C8">
        <v>-3.3641402721404998</v>
      </c>
      <c r="D8">
        <v>25.446697235107401</v>
      </c>
      <c r="E8">
        <v>14.3191604614257</v>
      </c>
      <c r="F8">
        <v>12.8527402877807</v>
      </c>
      <c r="G8">
        <v>4.3130002021789497</v>
      </c>
      <c r="H8" t="s">
        <v>25</v>
      </c>
      <c r="I8">
        <v>52.631999999999998</v>
      </c>
      <c r="J8">
        <v>10.526</v>
      </c>
      <c r="K8">
        <v>1.0115343332290601</v>
      </c>
      <c r="L8">
        <v>-8.80070735808909</v>
      </c>
      <c r="M8">
        <v>1.03969419002532</v>
      </c>
      <c r="N8">
        <v>-12.9156137689146</v>
      </c>
      <c r="O8">
        <v>1.0211113691329901</v>
      </c>
      <c r="P8">
        <v>1.0211113691329901</v>
      </c>
      <c r="Q8" s="1">
        <v>39.966106414794901</v>
      </c>
      <c r="R8" s="1">
        <v>-3.0919499397277801</v>
      </c>
      <c r="S8" s="1">
        <v>24.729944229125898</v>
      </c>
      <c r="T8" s="1">
        <v>12.9525918960571</v>
      </c>
      <c r="U8" s="1">
        <v>12.3942422866821</v>
      </c>
      <c r="V8" s="1">
        <v>3.7769238948821999</v>
      </c>
      <c r="W8" s="1">
        <v>0.98342871665954501</v>
      </c>
      <c r="X8" s="1">
        <v>-8.3245731594538697</v>
      </c>
      <c r="Y8" s="1">
        <v>1.0119501352310101</v>
      </c>
      <c r="Z8" s="1">
        <v>-12.3857763537001</v>
      </c>
      <c r="AA8" s="1">
        <v>0.98655784130096402</v>
      </c>
      <c r="AB8" s="1">
        <v>-13.0737710693585</v>
      </c>
      <c r="AC8" s="1">
        <v>-52.631996154785099</v>
      </c>
      <c r="AD8" s="1">
        <v>-10.5260000228881</v>
      </c>
      <c r="AE8" s="1">
        <v>-10.5260000228881</v>
      </c>
      <c r="AF8" s="1">
        <f t="shared" si="0"/>
        <v>-1.2661743164062003</v>
      </c>
      <c r="AG8" s="1">
        <f t="shared" si="1"/>
        <v>-0.71675300598150216</v>
      </c>
      <c r="AH8" s="1">
        <f t="shared" si="2"/>
        <v>-0.45849800109859906</v>
      </c>
      <c r="AI8" s="2">
        <f t="shared" si="3"/>
        <v>-3.0708325951226526E-2</v>
      </c>
      <c r="AJ8" s="2">
        <f t="shared" si="4"/>
        <v>-2.8166838287863843E-2</v>
      </c>
      <c r="AK8" s="2">
        <f t="shared" si="5"/>
        <v>-3.5673170921729454E-2</v>
      </c>
      <c r="AL8" s="1"/>
    </row>
    <row r="9" spans="1:38" x14ac:dyDescent="0.45">
      <c r="A9">
        <v>8</v>
      </c>
      <c r="B9">
        <v>43.3020210266113</v>
      </c>
      <c r="C9">
        <v>-3.5330102443695002</v>
      </c>
      <c r="D9">
        <v>26.7240486145019</v>
      </c>
      <c r="E9">
        <v>15.037940025329499</v>
      </c>
      <c r="F9">
        <v>13.4979095458984</v>
      </c>
      <c r="G9">
        <v>4.5295000076293901</v>
      </c>
      <c r="H9" t="s">
        <v>25</v>
      </c>
      <c r="I9">
        <v>52.631999999999998</v>
      </c>
      <c r="J9">
        <v>10.526</v>
      </c>
      <c r="K9">
        <v>1.0098292827606199</v>
      </c>
      <c r="L9">
        <v>-9.3230657160988404</v>
      </c>
      <c r="M9">
        <v>1.0375211238861</v>
      </c>
      <c r="N9">
        <v>-13.6469887239077</v>
      </c>
      <c r="O9">
        <v>1.0185617208480799</v>
      </c>
      <c r="P9">
        <v>1.0185617208480799</v>
      </c>
      <c r="Q9" s="1">
        <v>41.905422210693303</v>
      </c>
      <c r="R9" s="1">
        <v>-3.2304019927978498</v>
      </c>
      <c r="S9" s="1">
        <v>25.953880310058501</v>
      </c>
      <c r="T9" s="1">
        <v>13.564769744873001</v>
      </c>
      <c r="U9" s="1">
        <v>13.0102424621582</v>
      </c>
      <c r="V9" s="1">
        <v>3.9568727016448899</v>
      </c>
      <c r="W9" s="1">
        <v>0.98015010356902998</v>
      </c>
      <c r="X9" s="1">
        <v>-8.8344339787235793</v>
      </c>
      <c r="Y9" s="1">
        <v>1.00918984413146</v>
      </c>
      <c r="Z9" s="1">
        <v>-13.111648737496401</v>
      </c>
      <c r="AA9" s="1">
        <v>0.98364895582199097</v>
      </c>
      <c r="AB9" s="1">
        <v>-13.8634288828083</v>
      </c>
      <c r="AC9" s="1">
        <v>-52.631996154785099</v>
      </c>
      <c r="AD9" s="1">
        <v>-10.5260000228881</v>
      </c>
      <c r="AE9" s="1">
        <v>-10.5260000228881</v>
      </c>
      <c r="AF9" s="1">
        <f t="shared" si="0"/>
        <v>-1.3965988159179972</v>
      </c>
      <c r="AG9" s="1">
        <f t="shared" si="1"/>
        <v>-0.77016830444339845</v>
      </c>
      <c r="AH9" s="1">
        <f t="shared" si="2"/>
        <v>-0.48766708374020062</v>
      </c>
      <c r="AI9" s="2">
        <f t="shared" si="3"/>
        <v>-3.2252508839246005E-2</v>
      </c>
      <c r="AJ9" s="2">
        <f t="shared" si="4"/>
        <v>-2.8819297388400344E-2</v>
      </c>
      <c r="AK9" s="2">
        <f t="shared" si="5"/>
        <v>-3.6129082216911704E-2</v>
      </c>
      <c r="AL9" s="1"/>
    </row>
    <row r="10" spans="1:38" x14ac:dyDescent="0.45">
      <c r="A10">
        <v>9</v>
      </c>
      <c r="B10">
        <v>43.885181427001903</v>
      </c>
      <c r="C10">
        <v>-3.5805900096893302</v>
      </c>
      <c r="D10">
        <v>27.0839519500732</v>
      </c>
      <c r="E10">
        <v>15.240460395812899</v>
      </c>
      <c r="F10">
        <v>13.679690361022899</v>
      </c>
      <c r="G10">
        <v>4.5904998779296804</v>
      </c>
      <c r="H10" t="s">
        <v>25</v>
      </c>
      <c r="I10">
        <v>52.631999999999998</v>
      </c>
      <c r="J10">
        <v>10.526</v>
      </c>
      <c r="K10">
        <v>1.0093407630920399</v>
      </c>
      <c r="L10">
        <v>-9.4709324826970693</v>
      </c>
      <c r="M10">
        <v>1.0369025468826201</v>
      </c>
      <c r="N10">
        <v>-13.8540040754473</v>
      </c>
      <c r="O10">
        <v>1.01783812046051</v>
      </c>
      <c r="P10">
        <v>1.01783812046051</v>
      </c>
      <c r="Q10" s="1">
        <v>42.450504302978501</v>
      </c>
      <c r="R10" s="1">
        <v>-3.26905989646911</v>
      </c>
      <c r="S10" s="1">
        <v>26.2984008789062</v>
      </c>
      <c r="T10" s="1">
        <v>13.7364702224731</v>
      </c>
      <c r="U10" s="1">
        <v>13.183687210083001</v>
      </c>
      <c r="V10" s="1">
        <v>4.0073690414428702</v>
      </c>
      <c r="W10" s="1">
        <v>0.97921413183212203</v>
      </c>
      <c r="X10" s="1">
        <v>-8.9789616365629392</v>
      </c>
      <c r="Y10" s="1">
        <v>1.00840520858764</v>
      </c>
      <c r="Z10" s="1">
        <v>-13.3174175795018</v>
      </c>
      <c r="AA10" s="1">
        <v>0.98282384872436501</v>
      </c>
      <c r="AB10" s="1">
        <v>-14.087282358342399</v>
      </c>
      <c r="AC10" s="1">
        <v>-52.631996154785099</v>
      </c>
      <c r="AD10" s="1">
        <v>-10.5260000228881</v>
      </c>
      <c r="AE10" s="1">
        <v>-10.5260000228881</v>
      </c>
      <c r="AF10" s="1">
        <f t="shared" si="0"/>
        <v>-1.434677124023402</v>
      </c>
      <c r="AG10" s="1">
        <f t="shared" si="1"/>
        <v>-0.78555107116699929</v>
      </c>
      <c r="AH10" s="1">
        <f t="shared" si="2"/>
        <v>-0.49600315093989877</v>
      </c>
      <c r="AI10" s="2">
        <f t="shared" si="3"/>
        <v>-3.2691607448628805E-2</v>
      </c>
      <c r="AJ10" s="2">
        <f t="shared" si="4"/>
        <v>-2.9004300133713544E-2</v>
      </c>
      <c r="AK10" s="2">
        <f t="shared" si="5"/>
        <v>-3.6258360960650438E-2</v>
      </c>
      <c r="AL10" s="1"/>
    </row>
    <row r="11" spans="1:38" x14ac:dyDescent="0.45">
      <c r="A11">
        <v>10</v>
      </c>
      <c r="B11">
        <v>44.119400024413999</v>
      </c>
      <c r="C11">
        <v>-3.5996999740600502</v>
      </c>
      <c r="D11">
        <v>27.228502273559499</v>
      </c>
      <c r="E11">
        <v>15.3218002319335</v>
      </c>
      <c r="F11">
        <v>13.752700805664</v>
      </c>
      <c r="G11">
        <v>4.6149997711181596</v>
      </c>
      <c r="H11" t="s">
        <v>25</v>
      </c>
      <c r="I11">
        <v>52.579367999999903</v>
      </c>
      <c r="J11">
        <v>10.515473999999999</v>
      </c>
      <c r="K11">
        <v>1.00914347171783</v>
      </c>
      <c r="L11">
        <v>-9.5304089167213402</v>
      </c>
      <c r="M11">
        <v>1.03665339946746</v>
      </c>
      <c r="N11">
        <v>-13.9372674972319</v>
      </c>
      <c r="O11">
        <v>1.0175470113754199</v>
      </c>
      <c r="P11">
        <v>1.0175470113754199</v>
      </c>
      <c r="Q11" s="1">
        <v>42.670810699462798</v>
      </c>
      <c r="R11" s="1">
        <v>-3.28491115570068</v>
      </c>
      <c r="S11" s="1">
        <v>26.437595367431602</v>
      </c>
      <c r="T11" s="1">
        <v>13.806967735290501</v>
      </c>
      <c r="U11" s="1">
        <v>13.25386428833</v>
      </c>
      <c r="V11" s="1">
        <v>4.02823781967163</v>
      </c>
      <c r="W11" s="1">
        <v>0.97887259721755904</v>
      </c>
      <c r="X11" s="1">
        <v>-9.0376457686367608</v>
      </c>
      <c r="Y11" s="1">
        <v>1.0081205368041899</v>
      </c>
      <c r="Z11" s="1">
        <v>-13.400777477709299</v>
      </c>
      <c r="AA11" s="1">
        <v>0.98252916336059504</v>
      </c>
      <c r="AB11" s="1">
        <v>-14.1781955920624</v>
      </c>
      <c r="AC11" s="1">
        <v>-52.579368591308501</v>
      </c>
      <c r="AD11" s="1">
        <v>-10.515474319458001</v>
      </c>
      <c r="AE11" s="1">
        <v>-10.515474319458001</v>
      </c>
      <c r="AF11" s="1">
        <f t="shared" si="0"/>
        <v>-1.4485893249512003</v>
      </c>
      <c r="AG11" s="1">
        <f t="shared" si="1"/>
        <v>-0.79090690612789771</v>
      </c>
      <c r="AH11" s="1">
        <f t="shared" si="2"/>
        <v>-0.49883651733400036</v>
      </c>
      <c r="AI11" s="2">
        <f t="shared" si="3"/>
        <v>-3.2833386767490175E-2</v>
      </c>
      <c r="AJ11" s="2">
        <f t="shared" si="4"/>
        <v>-2.9047022057320997E-2</v>
      </c>
      <c r="AK11" s="2">
        <f t="shared" si="5"/>
        <v>-3.6271894835998783E-2</v>
      </c>
      <c r="AL11" s="1"/>
    </row>
    <row r="12" spans="1:38" x14ac:dyDescent="0.45">
      <c r="A12">
        <v>11</v>
      </c>
      <c r="B12">
        <v>44.267578125</v>
      </c>
      <c r="C12">
        <v>-3.61178994178771</v>
      </c>
      <c r="D12">
        <v>27.319950103759702</v>
      </c>
      <c r="E12">
        <v>15.3732595443725</v>
      </c>
      <c r="F12">
        <v>13.7988891601562</v>
      </c>
      <c r="G12">
        <v>4.6304998397827104</v>
      </c>
      <c r="H12" t="s">
        <v>25</v>
      </c>
      <c r="I12">
        <v>52.421471999999902</v>
      </c>
      <c r="J12">
        <v>10.483896</v>
      </c>
      <c r="K12">
        <v>1.0090184211730899</v>
      </c>
      <c r="L12">
        <v>-9.5680620423883198</v>
      </c>
      <c r="M12">
        <v>1.0364956855773899</v>
      </c>
      <c r="N12">
        <v>-13.9899794825994</v>
      </c>
      <c r="O12">
        <v>1.01736259460449</v>
      </c>
      <c r="P12">
        <v>1.01736259460449</v>
      </c>
      <c r="Q12" s="1">
        <v>42.813796997070298</v>
      </c>
      <c r="R12" s="1">
        <v>-3.2957990169525102</v>
      </c>
      <c r="S12" s="1">
        <v>26.527696609496999</v>
      </c>
      <c r="T12" s="1">
        <v>13.855433464050201</v>
      </c>
      <c r="U12" s="1">
        <v>13.2995243072509</v>
      </c>
      <c r="V12" s="1">
        <v>4.04290342330932</v>
      </c>
      <c r="W12" s="1">
        <v>0.97874093055725098</v>
      </c>
      <c r="X12" s="1">
        <v>-9.0760519226661298</v>
      </c>
      <c r="Y12" s="1">
        <v>1.0080142021179199</v>
      </c>
      <c r="Z12" s="1">
        <v>-13.454880260358401</v>
      </c>
      <c r="AA12" s="1">
        <v>0.98243117332458496</v>
      </c>
      <c r="AB12" s="1">
        <v>-14.2377360591107</v>
      </c>
      <c r="AC12" s="1">
        <v>-52.4214668273925</v>
      </c>
      <c r="AD12" s="1">
        <v>-10.4838962554931</v>
      </c>
      <c r="AE12" s="1">
        <v>-10.4838962554931</v>
      </c>
      <c r="AF12" s="1">
        <f t="shared" si="0"/>
        <v>-1.4537811279297017</v>
      </c>
      <c r="AG12" s="1">
        <f t="shared" si="1"/>
        <v>-0.79225349426270242</v>
      </c>
      <c r="AH12" s="1">
        <f t="shared" si="2"/>
        <v>-0.49936485290530008</v>
      </c>
      <c r="AI12" s="2">
        <f t="shared" si="3"/>
        <v>-3.2840764945952228E-2</v>
      </c>
      <c r="AJ12" s="2">
        <f t="shared" si="4"/>
        <v>-2.8999082767492849E-2</v>
      </c>
      <c r="AK12" s="2">
        <f t="shared" si="5"/>
        <v>-3.6188771944570604E-2</v>
      </c>
      <c r="AL12" s="1"/>
    </row>
    <row r="13" spans="1:38" x14ac:dyDescent="0.45">
      <c r="A13">
        <v>12</v>
      </c>
      <c r="B13">
        <v>44.415760040283203</v>
      </c>
      <c r="C13">
        <v>-3.62388014793396</v>
      </c>
      <c r="D13">
        <v>27.411401748657202</v>
      </c>
      <c r="E13">
        <v>15.424719810485801</v>
      </c>
      <c r="F13">
        <v>13.8450803756713</v>
      </c>
      <c r="G13">
        <v>4.6459999084472603</v>
      </c>
      <c r="H13" t="s">
        <v>25</v>
      </c>
      <c r="I13">
        <v>52.263576</v>
      </c>
      <c r="J13">
        <v>10.452318</v>
      </c>
      <c r="K13">
        <v>1.0088930130004801</v>
      </c>
      <c r="L13">
        <v>-9.6057365123966303</v>
      </c>
      <c r="M13">
        <v>1.03633749485015</v>
      </c>
      <c r="N13">
        <v>-14.042720496271199</v>
      </c>
      <c r="O13">
        <v>1.01717805862426</v>
      </c>
      <c r="P13">
        <v>1.01717805862426</v>
      </c>
      <c r="Q13" s="1">
        <v>42.956787109375</v>
      </c>
      <c r="R13" s="1">
        <v>-3.3066868782043399</v>
      </c>
      <c r="S13" s="1">
        <v>26.617824554443299</v>
      </c>
      <c r="T13" s="1">
        <v>13.903927803039499</v>
      </c>
      <c r="U13" s="1">
        <v>13.345193862915</v>
      </c>
      <c r="V13" s="1">
        <v>4.0575752258300701</v>
      </c>
      <c r="W13" s="1">
        <v>0.97860890626907304</v>
      </c>
      <c r="X13" s="1">
        <v>-9.1144828361314492</v>
      </c>
      <c r="Y13" s="1">
        <v>1.00790762901306</v>
      </c>
      <c r="Z13" s="1">
        <v>-13.5090171939536</v>
      </c>
      <c r="AA13" s="1">
        <v>0.98233294486999501</v>
      </c>
      <c r="AB13" s="1">
        <v>-14.2973123846524</v>
      </c>
      <c r="AC13" s="1">
        <v>-52.263576507568303</v>
      </c>
      <c r="AD13" s="1">
        <v>-10.452318191528301</v>
      </c>
      <c r="AE13" s="1">
        <v>-10.452318191528301</v>
      </c>
      <c r="AF13" s="1">
        <f t="shared" si="0"/>
        <v>-1.4589729309082031</v>
      </c>
      <c r="AG13" s="1">
        <f t="shared" si="1"/>
        <v>-0.79357719421390271</v>
      </c>
      <c r="AH13" s="1">
        <f t="shared" si="2"/>
        <v>-0.49988651275629969</v>
      </c>
      <c r="AI13" s="2">
        <f t="shared" si="3"/>
        <v>-3.2848091073640909E-2</v>
      </c>
      <c r="AJ13" s="2">
        <f t="shared" si="4"/>
        <v>-2.8950624323791745E-2</v>
      </c>
      <c r="AK13" s="2">
        <f t="shared" si="5"/>
        <v>-3.6105714029273879E-2</v>
      </c>
      <c r="AL13" s="1"/>
    </row>
    <row r="14" spans="1:38" x14ac:dyDescent="0.45">
      <c r="A14">
        <v>13</v>
      </c>
      <c r="B14">
        <v>44.559158325195298</v>
      </c>
      <c r="C14">
        <v>-3.63558006286621</v>
      </c>
      <c r="D14">
        <v>27.499902725219702</v>
      </c>
      <c r="E14">
        <v>15.474518775939901</v>
      </c>
      <c r="F14">
        <v>13.889780998229901</v>
      </c>
      <c r="G14">
        <v>4.6609997749328604</v>
      </c>
      <c r="H14" t="s">
        <v>25</v>
      </c>
      <c r="I14">
        <v>52.263576</v>
      </c>
      <c r="J14">
        <v>10.452318</v>
      </c>
      <c r="K14">
        <v>1.00877153873443</v>
      </c>
      <c r="L14">
        <v>-9.6422139917427305</v>
      </c>
      <c r="M14">
        <v>1.0361844301223699</v>
      </c>
      <c r="N14">
        <v>-14.0937864060348</v>
      </c>
      <c r="O14">
        <v>1.0169992446899401</v>
      </c>
      <c r="P14">
        <v>1.0169992446899401</v>
      </c>
      <c r="Q14" s="1">
        <v>43.090633392333899</v>
      </c>
      <c r="R14" s="1">
        <v>-3.3161423206329301</v>
      </c>
      <c r="S14" s="1">
        <v>26.7025032043457</v>
      </c>
      <c r="T14" s="1">
        <v>13.946047782897899</v>
      </c>
      <c r="U14" s="1">
        <v>13.387838363647401</v>
      </c>
      <c r="V14" s="1">
        <v>4.0699729919433496</v>
      </c>
      <c r="W14" s="1">
        <v>0.97837674617767301</v>
      </c>
      <c r="X14" s="1">
        <v>-9.1501680135270895</v>
      </c>
      <c r="Y14" s="1">
        <v>1.00771355628967</v>
      </c>
      <c r="Z14" s="1">
        <v>-13.559823556526601</v>
      </c>
      <c r="AA14" s="1">
        <v>0.98212915658950795</v>
      </c>
      <c r="AB14" s="1">
        <v>-14.352582275885901</v>
      </c>
      <c r="AC14" s="1">
        <v>-52.263576507568303</v>
      </c>
      <c r="AD14" s="1">
        <v>-10.452318191528301</v>
      </c>
      <c r="AE14" s="1">
        <v>-10.452318191528301</v>
      </c>
      <c r="AF14" s="1">
        <f t="shared" si="0"/>
        <v>-1.4685249328613992</v>
      </c>
      <c r="AG14" s="1">
        <f t="shared" si="1"/>
        <v>-0.79739952087400212</v>
      </c>
      <c r="AH14" s="1">
        <f t="shared" si="2"/>
        <v>-0.50194263458249999</v>
      </c>
      <c r="AI14" s="2">
        <f t="shared" si="3"/>
        <v>-3.2956747570140797E-2</v>
      </c>
      <c r="AJ14" s="2">
        <f t="shared" si="4"/>
        <v>-2.8996448781715884E-2</v>
      </c>
      <c r="AK14" s="2">
        <f t="shared" si="5"/>
        <v>-3.6137548507529892E-2</v>
      </c>
      <c r="AL14" s="1"/>
    </row>
    <row r="15" spans="1:38" x14ac:dyDescent="0.45">
      <c r="A15">
        <v>14</v>
      </c>
      <c r="B15">
        <v>44.6356391906738</v>
      </c>
      <c r="C15">
        <v>-3.6418199539184499</v>
      </c>
      <c r="D15">
        <v>27.547100067138601</v>
      </c>
      <c r="E15">
        <v>15.5010786056518</v>
      </c>
      <c r="F15">
        <v>13.9136199951171</v>
      </c>
      <c r="G15">
        <v>4.6690001487731898</v>
      </c>
      <c r="H15" t="s">
        <v>25</v>
      </c>
      <c r="I15">
        <v>52.368839999999999</v>
      </c>
      <c r="J15">
        <v>10.473369999999999</v>
      </c>
      <c r="K15">
        <v>1.00870656967163</v>
      </c>
      <c r="L15">
        <v>-9.66167661594808</v>
      </c>
      <c r="M15">
        <v>1.0361027717590301</v>
      </c>
      <c r="N15">
        <v>-14.1210303233182</v>
      </c>
      <c r="O15">
        <v>1.0169038772582999</v>
      </c>
      <c r="P15">
        <v>1.0169038772582999</v>
      </c>
      <c r="Q15" s="1">
        <v>43.158893585205</v>
      </c>
      <c r="R15" s="1">
        <v>-3.3204391002654998</v>
      </c>
      <c r="S15" s="1">
        <v>26.745901107788001</v>
      </c>
      <c r="T15" s="1">
        <v>13.9651794433593</v>
      </c>
      <c r="U15" s="1">
        <v>13.4095001220703</v>
      </c>
      <c r="V15" s="1">
        <v>4.07533454895019</v>
      </c>
      <c r="W15" s="1">
        <v>0.97818106412887496</v>
      </c>
      <c r="X15" s="1">
        <v>-9.1681595857274498</v>
      </c>
      <c r="Y15" s="1">
        <v>1.00754725933074</v>
      </c>
      <c r="Z15" s="1">
        <v>-13.5858226718232</v>
      </c>
      <c r="AA15" s="1">
        <v>0.98194557428359897</v>
      </c>
      <c r="AB15" s="1">
        <v>-14.380413589442901</v>
      </c>
      <c r="AC15" s="1">
        <v>-52.368839263916001</v>
      </c>
      <c r="AD15" s="1">
        <v>-10.473369598388601</v>
      </c>
      <c r="AE15" s="1">
        <v>-10.473369598388601</v>
      </c>
      <c r="AF15" s="1">
        <f t="shared" si="0"/>
        <v>-1.4767456054687997</v>
      </c>
      <c r="AG15" s="1">
        <f t="shared" si="1"/>
        <v>-0.80119895935060015</v>
      </c>
      <c r="AH15" s="1">
        <f t="shared" si="2"/>
        <v>-0.50411987304680039</v>
      </c>
      <c r="AI15" s="2">
        <f t="shared" si="3"/>
        <v>-3.3084450726928359E-2</v>
      </c>
      <c r="AJ15" s="2">
        <f t="shared" si="4"/>
        <v>-2.9084693394146554E-2</v>
      </c>
      <c r="AK15" s="2">
        <f t="shared" si="5"/>
        <v>-3.6232114519709334E-2</v>
      </c>
      <c r="AL15" s="1"/>
    </row>
    <row r="16" spans="1:38" x14ac:dyDescent="0.45">
      <c r="A16">
        <v>15</v>
      </c>
      <c r="B16">
        <v>44.951118469238203</v>
      </c>
      <c r="C16">
        <v>-3.6675601005554199</v>
      </c>
      <c r="D16">
        <v>27.741802215576101</v>
      </c>
      <c r="E16">
        <v>15.6106395721435</v>
      </c>
      <c r="F16">
        <v>14.011960029601999</v>
      </c>
      <c r="G16">
        <v>4.7020001411437899</v>
      </c>
      <c r="H16" t="s">
        <v>25</v>
      </c>
      <c r="I16">
        <v>52.526736</v>
      </c>
      <c r="J16">
        <v>10.504948000000001</v>
      </c>
      <c r="K16">
        <v>1.0084382295608501</v>
      </c>
      <c r="L16">
        <v>-9.7420175705167598</v>
      </c>
      <c r="M16">
        <v>1.0357651710510201</v>
      </c>
      <c r="N16">
        <v>-14.233497926694699</v>
      </c>
      <c r="O16">
        <v>1.0165100097656199</v>
      </c>
      <c r="P16">
        <v>1.0165100097656199</v>
      </c>
      <c r="Q16" s="1">
        <v>43.448459625244098</v>
      </c>
      <c r="R16" s="1">
        <v>-3.3400683403015101</v>
      </c>
      <c r="S16" s="1">
        <v>26.929485321044901</v>
      </c>
      <c r="T16" s="1">
        <v>14.0527038574218</v>
      </c>
      <c r="U16" s="1">
        <v>13.5016622543334</v>
      </c>
      <c r="V16" s="1">
        <v>4.1006870269775302</v>
      </c>
      <c r="W16" s="1">
        <v>0.97756111621856601</v>
      </c>
      <c r="X16" s="1">
        <v>-9.2452066815408998</v>
      </c>
      <c r="Y16" s="1">
        <v>1.00702536106109</v>
      </c>
      <c r="Z16" s="1">
        <v>-13.6961011995521</v>
      </c>
      <c r="AA16" s="1">
        <v>0.98138427734375</v>
      </c>
      <c r="AB16" s="1">
        <v>-14.4997011367636</v>
      </c>
      <c r="AC16" s="1">
        <v>-52.526737213134702</v>
      </c>
      <c r="AD16" s="1">
        <v>-10.5049476623535</v>
      </c>
      <c r="AE16" s="1">
        <v>-10.5049476623535</v>
      </c>
      <c r="AF16" s="1">
        <f t="shared" si="0"/>
        <v>-1.5026588439941051</v>
      </c>
      <c r="AG16" s="1">
        <f t="shared" si="1"/>
        <v>-0.81231689453120026</v>
      </c>
      <c r="AH16" s="1">
        <f t="shared" si="2"/>
        <v>-0.5102977752685991</v>
      </c>
      <c r="AI16" s="2">
        <f t="shared" si="3"/>
        <v>-3.342873092295652E-2</v>
      </c>
      <c r="AJ16" s="2">
        <f t="shared" si="4"/>
        <v>-2.9281331047595432E-2</v>
      </c>
      <c r="AK16" s="2">
        <f t="shared" si="5"/>
        <v>-3.6418729013680595E-2</v>
      </c>
      <c r="AL16" s="1"/>
    </row>
    <row r="17" spans="1:38" x14ac:dyDescent="0.45">
      <c r="A17">
        <v>16</v>
      </c>
      <c r="B17">
        <v>45.859321594238203</v>
      </c>
      <c r="C17">
        <v>-3.7416598796844398</v>
      </c>
      <c r="D17">
        <v>28.302299499511701</v>
      </c>
      <c r="E17">
        <v>15.926038742065399</v>
      </c>
      <c r="F17">
        <v>14.2950592041015</v>
      </c>
      <c r="G17">
        <v>4.7969999313354403</v>
      </c>
      <c r="H17" t="s">
        <v>25</v>
      </c>
      <c r="I17">
        <v>52.579367999999903</v>
      </c>
      <c r="J17">
        <v>10.515473999999999</v>
      </c>
      <c r="K17">
        <v>1.0076440572738601</v>
      </c>
      <c r="L17">
        <v>-9.9747759052568608</v>
      </c>
      <c r="M17">
        <v>1.0347818136215201</v>
      </c>
      <c r="N17">
        <v>-14.5589683962428</v>
      </c>
      <c r="O17">
        <v>1.0153677463531401</v>
      </c>
      <c r="P17">
        <v>1.0153677463531401</v>
      </c>
      <c r="Q17" s="1">
        <v>44.293594360351499</v>
      </c>
      <c r="R17" s="1">
        <v>-3.3992891311645499</v>
      </c>
      <c r="S17" s="1">
        <v>27.464576721191399</v>
      </c>
      <c r="T17" s="1">
        <v>14.317003250121999</v>
      </c>
      <c r="U17" s="1">
        <v>13.771043777465801</v>
      </c>
      <c r="V17" s="1">
        <v>4.17832231521606</v>
      </c>
      <c r="W17" s="1">
        <v>0.97604030370712203</v>
      </c>
      <c r="X17" s="1">
        <v>-9.4717495440834707</v>
      </c>
      <c r="Y17" s="1">
        <v>1.0057557821273799</v>
      </c>
      <c r="Z17" s="1">
        <v>-14.0188430085036</v>
      </c>
      <c r="AA17" s="1">
        <v>0.98004943132400502</v>
      </c>
      <c r="AB17" s="1">
        <v>-14.8505782026928</v>
      </c>
      <c r="AC17" s="1">
        <v>-52.579368591308501</v>
      </c>
      <c r="AD17" s="1">
        <v>-10.515474319458001</v>
      </c>
      <c r="AE17" s="1">
        <v>-10.515474319458001</v>
      </c>
      <c r="AF17" s="1">
        <f t="shared" si="0"/>
        <v>-1.5657272338867045</v>
      </c>
      <c r="AG17" s="1">
        <f t="shared" si="1"/>
        <v>-0.83772277832030184</v>
      </c>
      <c r="AH17" s="1">
        <f t="shared" si="2"/>
        <v>-0.52401542663569955</v>
      </c>
      <c r="AI17" s="2">
        <f t="shared" si="3"/>
        <v>-3.4141962407124304E-2</v>
      </c>
      <c r="AJ17" s="2">
        <f t="shared" si="4"/>
        <v>-2.959910654379002E-2</v>
      </c>
      <c r="AK17" s="2">
        <f t="shared" si="5"/>
        <v>-3.6657100831408274E-2</v>
      </c>
      <c r="AL17" s="1"/>
    </row>
    <row r="18" spans="1:38" x14ac:dyDescent="0.45">
      <c r="A18">
        <v>17</v>
      </c>
      <c r="B18">
        <v>47.2407417297363</v>
      </c>
      <c r="C18">
        <v>-3.8543701171875</v>
      </c>
      <c r="D18">
        <v>29.154850006103501</v>
      </c>
      <c r="E18">
        <v>16.4057807922363</v>
      </c>
      <c r="F18">
        <v>14.725669860839799</v>
      </c>
      <c r="G18">
        <v>4.9415001869201598</v>
      </c>
      <c r="H18" t="s">
        <v>25</v>
      </c>
      <c r="I18">
        <v>52.631999999999998</v>
      </c>
      <c r="J18">
        <v>10.526</v>
      </c>
      <c r="K18">
        <v>1.00643718242645</v>
      </c>
      <c r="L18">
        <v>-10.3292132073211</v>
      </c>
      <c r="M18">
        <v>1.03328132629394</v>
      </c>
      <c r="N18">
        <v>-15.0549374643963</v>
      </c>
      <c r="O18">
        <v>1.0136250257492001</v>
      </c>
      <c r="P18">
        <v>1.0136250257492001</v>
      </c>
      <c r="Q18" s="1">
        <v>45.5762519836425</v>
      </c>
      <c r="R18" s="1">
        <v>-3.4886181354522701</v>
      </c>
      <c r="S18" s="1">
        <v>28.2779731750488</v>
      </c>
      <c r="T18" s="1">
        <v>14.7177114486694</v>
      </c>
      <c r="U18" s="1">
        <v>14.1807241439819</v>
      </c>
      <c r="V18" s="1">
        <v>4.2961878776550204</v>
      </c>
      <c r="W18" s="1">
        <v>0.97372055053710904</v>
      </c>
      <c r="X18" s="1">
        <v>-9.8184559257152593</v>
      </c>
      <c r="Y18" s="1">
        <v>1.0038270950317301</v>
      </c>
      <c r="Z18" s="1">
        <v>-14.512702401959301</v>
      </c>
      <c r="AA18" s="1">
        <v>0.97802770137786799</v>
      </c>
      <c r="AB18" s="1">
        <v>-15.387612076032701</v>
      </c>
      <c r="AC18" s="1">
        <v>-52.631996154785099</v>
      </c>
      <c r="AD18" s="1">
        <v>-10.5260000228881</v>
      </c>
      <c r="AE18" s="1">
        <v>-10.5260000228881</v>
      </c>
      <c r="AF18" s="1">
        <f t="shared" si="0"/>
        <v>-1.6644897460937997</v>
      </c>
      <c r="AG18" s="1">
        <f t="shared" si="1"/>
        <v>-0.87687683105470171</v>
      </c>
      <c r="AH18" s="1">
        <f t="shared" si="2"/>
        <v>-0.5449457168578995</v>
      </c>
      <c r="AI18" s="2">
        <f t="shared" si="3"/>
        <v>-3.5234200081284181E-2</v>
      </c>
      <c r="AJ18" s="2">
        <f t="shared" si="4"/>
        <v>-3.0076533779838672E-2</v>
      </c>
      <c r="AK18" s="2">
        <f t="shared" si="5"/>
        <v>-3.7006514610726272E-2</v>
      </c>
      <c r="AL18" s="1"/>
    </row>
    <row r="19" spans="1:38" x14ac:dyDescent="0.45">
      <c r="A19">
        <v>18</v>
      </c>
      <c r="B19">
        <v>47.799999237060497</v>
      </c>
      <c r="C19">
        <v>-3.9000000953674299</v>
      </c>
      <c r="D19">
        <v>29.4999980926513</v>
      </c>
      <c r="E19">
        <v>16.600000381469702</v>
      </c>
      <c r="F19">
        <v>14.8999986648559</v>
      </c>
      <c r="G19">
        <v>5</v>
      </c>
      <c r="H19" t="s">
        <v>25</v>
      </c>
      <c r="I19">
        <v>52.631999999999998</v>
      </c>
      <c r="J19">
        <v>10.526</v>
      </c>
      <c r="K19">
        <v>1.00594234466552</v>
      </c>
      <c r="L19">
        <v>-10.4732499453097</v>
      </c>
      <c r="M19">
        <v>1.03266930580139</v>
      </c>
      <c r="N19">
        <v>-15.256469027759399</v>
      </c>
      <c r="O19">
        <v>1.0129156112670801</v>
      </c>
      <c r="P19">
        <v>1.0129156112670801</v>
      </c>
      <c r="Q19" s="1">
        <v>46.095199584960902</v>
      </c>
      <c r="R19" s="1">
        <v>-3.52467560768127</v>
      </c>
      <c r="S19" s="1">
        <v>28.607385635375898</v>
      </c>
      <c r="T19" s="1">
        <v>14.880025863647401</v>
      </c>
      <c r="U19" s="1">
        <v>14.3467187881469</v>
      </c>
      <c r="V19" s="1">
        <v>4.3440122604370099</v>
      </c>
      <c r="W19" s="1">
        <v>0.972786724567413</v>
      </c>
      <c r="X19" s="1">
        <v>-9.9597016776305392</v>
      </c>
      <c r="Y19" s="1">
        <v>1.0030536651611299</v>
      </c>
      <c r="Z19" s="1">
        <v>-14.713820738874</v>
      </c>
      <c r="AA19" s="1">
        <v>0.97722029685974099</v>
      </c>
      <c r="AB19" s="1">
        <v>-15.6064069426697</v>
      </c>
      <c r="AC19" s="1">
        <v>-52.631996154785099</v>
      </c>
      <c r="AD19" s="1">
        <v>-10.5260000228881</v>
      </c>
      <c r="AE19" s="1">
        <v>-10.5260000228881</v>
      </c>
      <c r="AF19" s="1">
        <f t="shared" si="0"/>
        <v>-1.7047996520995952</v>
      </c>
      <c r="AG19" s="1">
        <f t="shared" si="1"/>
        <v>-0.89261245727540128</v>
      </c>
      <c r="AH19" s="1">
        <f t="shared" si="2"/>
        <v>-0.55327987670900036</v>
      </c>
      <c r="AI19" s="2">
        <f t="shared" si="3"/>
        <v>-3.5665265257532108E-2</v>
      </c>
      <c r="AJ19" s="2">
        <f t="shared" si="4"/>
        <v>-3.0258051355527331E-2</v>
      </c>
      <c r="AK19" s="2">
        <f t="shared" si="5"/>
        <v>-3.7132880958842103E-2</v>
      </c>
      <c r="AL19" s="1"/>
    </row>
    <row r="20" spans="1:38" x14ac:dyDescent="0.45">
      <c r="A20">
        <v>19</v>
      </c>
      <c r="B20">
        <v>47.637481689453097</v>
      </c>
      <c r="C20">
        <v>-3.88673996925354</v>
      </c>
      <c r="D20">
        <v>29.3996982574462</v>
      </c>
      <c r="E20">
        <v>16.543560028076101</v>
      </c>
      <c r="F20">
        <v>14.849340438842701</v>
      </c>
      <c r="G20">
        <v>4.9829998016357404</v>
      </c>
      <c r="H20" t="s">
        <v>25</v>
      </c>
      <c r="I20">
        <v>52.631999999999998</v>
      </c>
      <c r="J20">
        <v>10.526</v>
      </c>
      <c r="K20">
        <v>1.00608646869659</v>
      </c>
      <c r="L20">
        <v>-10.431360394774</v>
      </c>
      <c r="M20">
        <v>1.03284752368927</v>
      </c>
      <c r="N20">
        <v>-15.1978608815407</v>
      </c>
      <c r="O20">
        <v>1.0131219625473</v>
      </c>
      <c r="P20">
        <v>1.0131219625473</v>
      </c>
      <c r="Q20" s="1">
        <v>45.944454193115199</v>
      </c>
      <c r="R20" s="1">
        <v>-3.5142135620117099</v>
      </c>
      <c r="S20" s="1">
        <v>28.511671066284102</v>
      </c>
      <c r="T20" s="1">
        <v>14.832888603210399</v>
      </c>
      <c r="U20" s="1">
        <v>14.298488616943301</v>
      </c>
      <c r="V20" s="1">
        <v>4.3301234245300204</v>
      </c>
      <c r="W20" s="1">
        <v>0.973058640956878</v>
      </c>
      <c r="X20" s="1">
        <v>-9.9186163818764594</v>
      </c>
      <c r="Y20" s="1">
        <v>1.0032787322998</v>
      </c>
      <c r="Z20" s="1">
        <v>-14.655320168135701</v>
      </c>
      <c r="AA20" s="1">
        <v>0.97745519876480103</v>
      </c>
      <c r="AB20" s="1">
        <v>-15.542763239442699</v>
      </c>
      <c r="AC20" s="1">
        <v>-52.631996154785099</v>
      </c>
      <c r="AD20" s="1">
        <v>-10.5260000228881</v>
      </c>
      <c r="AE20" s="1">
        <v>-10.5260000228881</v>
      </c>
      <c r="AF20" s="1">
        <f t="shared" si="0"/>
        <v>-1.6930274963378977</v>
      </c>
      <c r="AG20" s="1">
        <f t="shared" si="1"/>
        <v>-0.88802719116209872</v>
      </c>
      <c r="AH20" s="1">
        <f t="shared" si="2"/>
        <v>-0.55085182189939985</v>
      </c>
      <c r="AI20" s="2">
        <f t="shared" si="3"/>
        <v>-3.553981940889904E-2</v>
      </c>
      <c r="AJ20" s="2">
        <f t="shared" si="4"/>
        <v>-3.0205316509912952E-2</v>
      </c>
      <c r="AK20" s="2">
        <f t="shared" si="5"/>
        <v>-3.7096046398026487E-2</v>
      </c>
      <c r="AL20" s="1"/>
    </row>
    <row r="21" spans="1:38" x14ac:dyDescent="0.45">
      <c r="A21">
        <v>20</v>
      </c>
      <c r="B21">
        <v>47.116458892822202</v>
      </c>
      <c r="C21">
        <v>-3.8442299365997301</v>
      </c>
      <c r="D21">
        <v>29.078149795532202</v>
      </c>
      <c r="E21">
        <v>16.3626194000244</v>
      </c>
      <c r="F21">
        <v>14.6869297027587</v>
      </c>
      <c r="G21">
        <v>4.9285001754760698</v>
      </c>
      <c r="H21" t="s">
        <v>25</v>
      </c>
      <c r="I21">
        <v>52.631999999999998</v>
      </c>
      <c r="J21">
        <v>10.526</v>
      </c>
      <c r="K21">
        <v>1.00654673576354</v>
      </c>
      <c r="L21">
        <v>-10.297247921733801</v>
      </c>
      <c r="M21">
        <v>1.0334169864654501</v>
      </c>
      <c r="N21">
        <v>-15.010211677783699</v>
      </c>
      <c r="O21">
        <v>1.01378238201141</v>
      </c>
      <c r="P21">
        <v>1.01378238201141</v>
      </c>
      <c r="Q21" s="1">
        <v>45.460845947265597</v>
      </c>
      <c r="R21" s="1">
        <v>-3.4805834293365399</v>
      </c>
      <c r="S21" s="1">
        <v>28.204748153686499</v>
      </c>
      <c r="T21" s="1">
        <v>14.681591033935501</v>
      </c>
      <c r="U21" s="1">
        <v>14.1438293457031</v>
      </c>
      <c r="V21" s="1">
        <v>4.2855477333068803</v>
      </c>
      <c r="W21" s="1">
        <v>0.97392731904983498</v>
      </c>
      <c r="X21" s="1">
        <v>-9.7871207250842396</v>
      </c>
      <c r="Y21" s="1">
        <v>1.0039985179901101</v>
      </c>
      <c r="Z21" s="1">
        <v>-14.4680824832797</v>
      </c>
      <c r="AA21" s="1">
        <v>0.97820681333541804</v>
      </c>
      <c r="AB21" s="1">
        <v>-15.3390733362835</v>
      </c>
      <c r="AC21" s="1">
        <v>-52.631996154785099</v>
      </c>
      <c r="AD21" s="1">
        <v>-10.5260000228881</v>
      </c>
      <c r="AE21" s="1">
        <v>-10.5260000228881</v>
      </c>
      <c r="AF21" s="1">
        <f t="shared" si="0"/>
        <v>-1.6556129455566051</v>
      </c>
      <c r="AG21" s="1">
        <f t="shared" si="1"/>
        <v>-0.87340164184570313</v>
      </c>
      <c r="AH21" s="1">
        <f t="shared" si="2"/>
        <v>-0.54310035705560011</v>
      </c>
      <c r="AI21" s="2">
        <f t="shared" si="3"/>
        <v>-3.5138738870904913E-2</v>
      </c>
      <c r="AJ21" s="2">
        <f t="shared" si="4"/>
        <v>-3.0036355407313416E-2</v>
      </c>
      <c r="AK21" s="2">
        <f t="shared" si="5"/>
        <v>-3.6978481414913257E-2</v>
      </c>
      <c r="AL21" s="1"/>
    </row>
    <row r="22" spans="1:38" x14ac:dyDescent="0.45">
      <c r="A22">
        <v>21</v>
      </c>
      <c r="B22">
        <v>45.983600616455</v>
      </c>
      <c r="C22">
        <v>-3.7518002986907901</v>
      </c>
      <c r="D22">
        <v>28.378999710083001</v>
      </c>
      <c r="E22">
        <v>15.969200134277299</v>
      </c>
      <c r="F22">
        <v>14.3338012695312</v>
      </c>
      <c r="G22">
        <v>4.8099999427795401</v>
      </c>
      <c r="H22" t="s">
        <v>25</v>
      </c>
      <c r="I22">
        <v>52.631999999999998</v>
      </c>
      <c r="J22">
        <v>10.526</v>
      </c>
      <c r="K22">
        <v>1.0075364112853999</v>
      </c>
      <c r="L22">
        <v>-10.0065849502655</v>
      </c>
      <c r="M22">
        <v>1.0346474647521899</v>
      </c>
      <c r="N22">
        <v>-14.6034807394421</v>
      </c>
      <c r="O22">
        <v>1.0152115821838299</v>
      </c>
      <c r="P22">
        <v>1.0152115821838299</v>
      </c>
      <c r="Q22" s="1">
        <v>44.407665252685497</v>
      </c>
      <c r="R22" s="1">
        <v>-3.4070141315460201</v>
      </c>
      <c r="S22" s="1">
        <v>27.536973953246999</v>
      </c>
      <c r="T22" s="1">
        <v>14.3515825271606</v>
      </c>
      <c r="U22" s="1">
        <v>13.807410240173301</v>
      </c>
      <c r="V22" s="1">
        <v>4.1883611679077104</v>
      </c>
      <c r="W22" s="1">
        <v>0.97580021619796697</v>
      </c>
      <c r="X22" s="1">
        <v>-9.5023701361665101</v>
      </c>
      <c r="Y22" s="1">
        <v>1.00555455684661</v>
      </c>
      <c r="Z22" s="1">
        <v>-14.062636474286601</v>
      </c>
      <c r="AA22" s="1">
        <v>0.97983407974243097</v>
      </c>
      <c r="AB22" s="1">
        <v>-14.8979950838613</v>
      </c>
      <c r="AC22" s="1">
        <v>-52.631996154785099</v>
      </c>
      <c r="AD22" s="1">
        <v>-10.5260000228881</v>
      </c>
      <c r="AE22" s="1">
        <v>-10.5260000228881</v>
      </c>
      <c r="AF22" s="1">
        <f t="shared" si="0"/>
        <v>-1.5759353637695028</v>
      </c>
      <c r="AG22" s="1">
        <f t="shared" si="1"/>
        <v>-0.84202575683600145</v>
      </c>
      <c r="AH22" s="1">
        <f t="shared" si="2"/>
        <v>-0.5263910293578995</v>
      </c>
      <c r="AI22" s="2">
        <f t="shared" si="3"/>
        <v>-3.4271682570363192E-2</v>
      </c>
      <c r="AJ22" s="2">
        <f t="shared" si="4"/>
        <v>-2.9670734185068243E-2</v>
      </c>
      <c r="AK22" s="2">
        <f t="shared" si="5"/>
        <v>-3.6723756626710617E-2</v>
      </c>
      <c r="AL22" s="1"/>
    </row>
    <row r="23" spans="1:38" x14ac:dyDescent="0.45">
      <c r="A23">
        <v>22</v>
      </c>
      <c r="B23">
        <v>43.684421539306598</v>
      </c>
      <c r="C23">
        <v>-3.5642099380493102</v>
      </c>
      <c r="D23">
        <v>26.9600505828857</v>
      </c>
      <c r="E23">
        <v>15.1707391738891</v>
      </c>
      <c r="F23">
        <v>13.6171102523803</v>
      </c>
      <c r="G23">
        <v>4.5694999694824201</v>
      </c>
      <c r="H23" t="s">
        <v>25</v>
      </c>
      <c r="I23">
        <v>52.631999999999998</v>
      </c>
      <c r="J23">
        <v>10.526</v>
      </c>
      <c r="K23">
        <v>1.00950932502746</v>
      </c>
      <c r="L23">
        <v>-9.4199929314342103</v>
      </c>
      <c r="M23">
        <v>1.03711581230163</v>
      </c>
      <c r="N23">
        <v>-13.782689215943501</v>
      </c>
      <c r="O23">
        <v>1.01808762550354</v>
      </c>
      <c r="P23">
        <v>1.01808762550354</v>
      </c>
      <c r="Q23" s="1">
        <v>42.262920379638601</v>
      </c>
      <c r="R23" s="1">
        <v>-3.2557697296142498</v>
      </c>
      <c r="S23" s="1">
        <v>26.179811477661101</v>
      </c>
      <c r="T23" s="1">
        <v>13.6773986816406</v>
      </c>
      <c r="U23" s="1">
        <v>13.1239805221557</v>
      </c>
      <c r="V23" s="1">
        <v>3.9899926185607901</v>
      </c>
      <c r="W23" s="1">
        <v>0.97953701019287098</v>
      </c>
      <c r="X23" s="1">
        <v>-8.9291610193538595</v>
      </c>
      <c r="Y23" s="1">
        <v>1.0086756944656301</v>
      </c>
      <c r="Z23" s="1">
        <v>-13.2465150926727</v>
      </c>
      <c r="AA23" s="1">
        <v>0.98310816287994296</v>
      </c>
      <c r="AB23" s="1">
        <v>-14.0101481776162</v>
      </c>
      <c r="AC23" s="1">
        <v>-52.631996154785099</v>
      </c>
      <c r="AD23" s="1">
        <v>-10.5260000228881</v>
      </c>
      <c r="AE23" s="1">
        <v>-10.5260000228881</v>
      </c>
      <c r="AF23" s="1">
        <f t="shared" si="0"/>
        <v>-1.4215011596679972</v>
      </c>
      <c r="AG23" s="1">
        <f t="shared" si="1"/>
        <v>-0.78023910522459872</v>
      </c>
      <c r="AH23" s="1">
        <f t="shared" si="2"/>
        <v>-0.49312973022460049</v>
      </c>
      <c r="AI23" s="2">
        <f t="shared" si="3"/>
        <v>-3.2540230809487806E-2</v>
      </c>
      <c r="AJ23" s="2">
        <f t="shared" si="4"/>
        <v>-2.8940565331130954E-2</v>
      </c>
      <c r="AK23" s="2">
        <f t="shared" si="5"/>
        <v>-3.6213977935472791E-2</v>
      </c>
      <c r="AL23" s="1"/>
    </row>
    <row r="24" spans="1:38" x14ac:dyDescent="0.45">
      <c r="A24">
        <v>23</v>
      </c>
      <c r="B24">
        <v>40.854660034179602</v>
      </c>
      <c r="C24">
        <v>-3.33332967758178</v>
      </c>
      <c r="D24">
        <v>25.213649749755799</v>
      </c>
      <c r="E24">
        <v>14.188019752502401</v>
      </c>
      <c r="F24">
        <v>12.7350301742553</v>
      </c>
      <c r="G24">
        <v>4.2734999656677202</v>
      </c>
      <c r="H24" t="s">
        <v>25</v>
      </c>
      <c r="I24">
        <v>52.631999999999998</v>
      </c>
      <c r="J24">
        <v>10.526</v>
      </c>
      <c r="K24">
        <v>1.01184046268463</v>
      </c>
      <c r="L24">
        <v>-8.7058078551807991</v>
      </c>
      <c r="M24">
        <v>1.0400872230529701</v>
      </c>
      <c r="N24">
        <v>-12.782728168614501</v>
      </c>
      <c r="O24">
        <v>1.02157354354858</v>
      </c>
      <c r="P24">
        <v>1.02157354354858</v>
      </c>
      <c r="Q24" s="1">
        <v>39.611507415771399</v>
      </c>
      <c r="R24" s="1">
        <v>-3.06648397445678</v>
      </c>
      <c r="S24" s="1">
        <v>24.506435394287099</v>
      </c>
      <c r="T24" s="1">
        <v>12.8404197692871</v>
      </c>
      <c r="U24" s="1">
        <v>12.2817840576171</v>
      </c>
      <c r="V24" s="1">
        <v>3.7439730167388898</v>
      </c>
      <c r="W24" s="1">
        <v>0.98401969671249301</v>
      </c>
      <c r="X24" s="1">
        <v>-8.2320591001334709</v>
      </c>
      <c r="Y24" s="1">
        <v>1.0124496221542301</v>
      </c>
      <c r="Z24" s="1">
        <v>-12.254074083683699</v>
      </c>
      <c r="AA24" s="1">
        <v>0.987085402011871</v>
      </c>
      <c r="AB24" s="1">
        <v>-12.930495043695201</v>
      </c>
      <c r="AC24" s="1">
        <v>-52.631996154785099</v>
      </c>
      <c r="AD24" s="1">
        <v>-10.5260000228881</v>
      </c>
      <c r="AE24" s="1">
        <v>-10.5260000228881</v>
      </c>
      <c r="AF24" s="1">
        <f t="shared" si="0"/>
        <v>-1.2431526184082031</v>
      </c>
      <c r="AG24" s="1">
        <f t="shared" si="1"/>
        <v>-0.70721435546870026</v>
      </c>
      <c r="AH24" s="1">
        <f t="shared" si="2"/>
        <v>-0.45324611663819958</v>
      </c>
      <c r="AI24" s="2">
        <f t="shared" si="3"/>
        <v>-3.0428661439555822E-2</v>
      </c>
      <c r="AJ24" s="2">
        <f t="shared" si="4"/>
        <v>-2.8048868866180306E-2</v>
      </c>
      <c r="AK24" s="2">
        <f t="shared" si="5"/>
        <v>-3.5590501980471659E-2</v>
      </c>
      <c r="AL24" s="1"/>
    </row>
    <row r="25" spans="1:38" x14ac:dyDescent="0.45">
      <c r="A25">
        <v>24</v>
      </c>
      <c r="B25">
        <v>38.4646606445312</v>
      </c>
      <c r="C25">
        <v>-3.1383297443389799</v>
      </c>
      <c r="D25">
        <v>23.738649368286101</v>
      </c>
      <c r="E25">
        <v>13.358018875121999</v>
      </c>
      <c r="F25">
        <v>11.9900302886962</v>
      </c>
      <c r="G25">
        <v>4.0234999656677202</v>
      </c>
      <c r="H25" t="s">
        <v>25</v>
      </c>
      <c r="I25">
        <v>52.631999999999998</v>
      </c>
      <c r="J25">
        <v>10.526</v>
      </c>
      <c r="K25">
        <v>1.01374471187591</v>
      </c>
      <c r="L25">
        <v>-8.1079776137483108</v>
      </c>
      <c r="M25">
        <v>1.04254829883575</v>
      </c>
      <c r="N25">
        <v>-11.945522846627201</v>
      </c>
      <c r="O25">
        <v>1.0244774818420399</v>
      </c>
      <c r="P25">
        <v>1.0244774818420399</v>
      </c>
      <c r="Q25" s="1">
        <v>37.324680328369098</v>
      </c>
      <c r="R25" s="1">
        <v>-2.8951139450073198</v>
      </c>
      <c r="S25" s="1">
        <v>23.080726623535099</v>
      </c>
      <c r="T25" s="1">
        <v>12.1090908050537</v>
      </c>
      <c r="U25" s="1">
        <v>11.566423416137599</v>
      </c>
      <c r="V25" s="1">
        <v>3.5310275554656898</v>
      </c>
      <c r="W25" s="1">
        <v>0.98672455549240101</v>
      </c>
      <c r="X25" s="1">
        <v>-7.6396861798942002</v>
      </c>
      <c r="Y25" s="1">
        <v>1.0151784420013401</v>
      </c>
      <c r="Z25" s="1">
        <v>-11.416639096583699</v>
      </c>
      <c r="AA25" s="1">
        <v>0.99014973640441895</v>
      </c>
      <c r="AB25" s="1">
        <v>-12.023011343419499</v>
      </c>
      <c r="AC25" s="1">
        <v>-52.631996154785099</v>
      </c>
      <c r="AD25" s="1">
        <v>-10.5260000228881</v>
      </c>
      <c r="AE25" s="1">
        <v>-10.5260000228881</v>
      </c>
      <c r="AF25" s="1">
        <f t="shared" si="0"/>
        <v>-1.1399803161621023</v>
      </c>
      <c r="AG25" s="1">
        <f t="shared" si="1"/>
        <v>-0.65792274475100143</v>
      </c>
      <c r="AH25" s="1">
        <f t="shared" si="2"/>
        <v>-0.42360687255860086</v>
      </c>
      <c r="AI25" s="2">
        <f t="shared" si="3"/>
        <v>-2.9637082377956234E-2</v>
      </c>
      <c r="AJ25" s="2">
        <f t="shared" si="4"/>
        <v>-2.7715256017469984E-2</v>
      </c>
      <c r="AK25" s="2">
        <f t="shared" si="5"/>
        <v>-3.5329925142721555E-2</v>
      </c>
      <c r="AL2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54147-E9A9-49E8-B2FB-4768811EB4AB}">
  <dimension ref="A1:AK25"/>
  <sheetViews>
    <sheetView workbookViewId="0">
      <selection activeCell="AF2" sqref="AF2:AK2"/>
    </sheetView>
  </sheetViews>
  <sheetFormatPr defaultRowHeight="14.25" x14ac:dyDescent="0.45"/>
  <sheetData>
    <row r="1" spans="1:3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</row>
    <row r="2" spans="1:37" x14ac:dyDescent="0.45">
      <c r="A2">
        <v>1</v>
      </c>
      <c r="B2">
        <v>36.882480621337798</v>
      </c>
      <c r="C2">
        <v>-3.0092399120330802</v>
      </c>
      <c r="D2">
        <v>22.762199401855401</v>
      </c>
      <c r="E2">
        <v>12.8085594177246</v>
      </c>
      <c r="F2">
        <v>11.496839523315399</v>
      </c>
      <c r="G2">
        <v>3.85800004005432</v>
      </c>
      <c r="H2" t="s">
        <v>25</v>
      </c>
      <c r="I2">
        <v>105.26300000000001</v>
      </c>
      <c r="J2">
        <v>0</v>
      </c>
      <c r="K2">
        <v>1.0149734020233101</v>
      </c>
      <c r="L2">
        <v>-7.7147977708351601</v>
      </c>
      <c r="M2">
        <v>1.0441538095474201</v>
      </c>
      <c r="N2">
        <v>-11.3948354250204</v>
      </c>
      <c r="O2">
        <v>1.0263801813125599</v>
      </c>
      <c r="P2">
        <v>1.0263801813125599</v>
      </c>
      <c r="Q2">
        <v>35.148429870605398</v>
      </c>
      <c r="R2">
        <v>-2.6254513263702299</v>
      </c>
      <c r="S2">
        <v>22.345485687255799</v>
      </c>
      <c r="T2">
        <v>12.016339302062899</v>
      </c>
      <c r="U2">
        <v>11.365592002868601</v>
      </c>
      <c r="V2">
        <v>3.7043437957763601</v>
      </c>
      <c r="W2">
        <v>0.97000002861022905</v>
      </c>
      <c r="X2">
        <v>-7.0226178567272397</v>
      </c>
      <c r="Y2">
        <v>1.02605688571929</v>
      </c>
      <c r="Z2">
        <v>-10.783029762653699</v>
      </c>
      <c r="AA2">
        <v>1.01528191566467</v>
      </c>
      <c r="AB2">
        <v>-11.770887714670501</v>
      </c>
      <c r="AC2">
        <v>-91.666534423828097</v>
      </c>
      <c r="AD2">
        <v>0</v>
      </c>
      <c r="AE2">
        <v>0</v>
      </c>
      <c r="AF2" s="1">
        <f>Q2-B2</f>
        <v>-1.7340507507324006</v>
      </c>
      <c r="AG2" s="1">
        <f>S2-D2</f>
        <v>-0.41671371459960227</v>
      </c>
      <c r="AH2" s="1">
        <f>U2-F2</f>
        <v>-0.13124752044679866</v>
      </c>
      <c r="AI2" s="2">
        <f>AF2/B2</f>
        <v>-4.7015567324102163E-2</v>
      </c>
      <c r="AJ2" s="2">
        <f>AG2/D2</f>
        <v>-1.8307269312720059E-2</v>
      </c>
      <c r="AK2" s="2">
        <f>AH2/F2</f>
        <v>-1.1415965246851612E-2</v>
      </c>
    </row>
    <row r="3" spans="1:37" x14ac:dyDescent="0.45">
      <c r="A3">
        <v>2</v>
      </c>
      <c r="B3">
        <v>35.931259155273402</v>
      </c>
      <c r="C3">
        <v>-2.93162989616394</v>
      </c>
      <c r="D3">
        <v>22.1751499176025</v>
      </c>
      <c r="E3">
        <v>12.4782199859619</v>
      </c>
      <c r="F3">
        <v>11.200329780578601</v>
      </c>
      <c r="G3">
        <v>3.75850009918212</v>
      </c>
      <c r="H3" t="s">
        <v>25</v>
      </c>
      <c r="I3">
        <v>105.26300000000001</v>
      </c>
      <c r="J3">
        <v>0</v>
      </c>
      <c r="K3">
        <v>1.0156829357147199</v>
      </c>
      <c r="L3">
        <v>-7.4793466339918897</v>
      </c>
      <c r="M3">
        <v>1.0451024770736601</v>
      </c>
      <c r="N3">
        <v>-11.0650679126742</v>
      </c>
      <c r="O3">
        <v>1.0275118350982599</v>
      </c>
      <c r="P3">
        <v>1.0275118350982599</v>
      </c>
      <c r="Q3">
        <v>34.217693328857401</v>
      </c>
      <c r="R3">
        <v>-2.55248570442199</v>
      </c>
      <c r="S3">
        <v>21.762456893920898</v>
      </c>
      <c r="T3">
        <v>11.694921493530201</v>
      </c>
      <c r="U3">
        <v>11.0701580047607</v>
      </c>
      <c r="V3">
        <v>3.6064107418060298</v>
      </c>
      <c r="W3">
        <v>0.97000002861022905</v>
      </c>
      <c r="X3">
        <v>-6.78657334719479</v>
      </c>
      <c r="Y3">
        <v>1.02668964862823</v>
      </c>
      <c r="Z3">
        <v>-10.4559746892046</v>
      </c>
      <c r="AA3">
        <v>1.01620113849639</v>
      </c>
      <c r="AB3">
        <v>-11.419668285506299</v>
      </c>
      <c r="AC3">
        <v>-93.903259277343693</v>
      </c>
      <c r="AD3">
        <v>0</v>
      </c>
      <c r="AE3">
        <v>0</v>
      </c>
      <c r="AF3" s="1">
        <f t="shared" ref="AF3:AF25" si="0">Q3-B3</f>
        <v>-1.7135658264160014</v>
      </c>
      <c r="AG3" s="1">
        <f t="shared" ref="AG3:AG25" si="1">S3-D3</f>
        <v>-0.41269302368160155</v>
      </c>
      <c r="AH3" s="1">
        <f t="shared" ref="AH3:AH25" si="2">U3-F3</f>
        <v>-0.13017177581790129</v>
      </c>
      <c r="AI3" s="2">
        <f t="shared" ref="AI3:AI25" si="3">AF3/B3</f>
        <v>-4.7690113475038411E-2</v>
      </c>
      <c r="AJ3" s="2">
        <f t="shared" ref="AJ3:AJ25" si="4">AG3/D3</f>
        <v>-1.8610608055191019E-2</v>
      </c>
      <c r="AK3" s="2">
        <f t="shared" ref="AK3:AK25" si="5">AH3/F3</f>
        <v>-1.1622137773444802E-2</v>
      </c>
    </row>
    <row r="4" spans="1:37" x14ac:dyDescent="0.45">
      <c r="A4">
        <v>3</v>
      </c>
      <c r="B4">
        <v>35.405460357666001</v>
      </c>
      <c r="C4">
        <v>-2.8887300491332999</v>
      </c>
      <c r="D4">
        <v>21.850650787353501</v>
      </c>
      <c r="E4">
        <v>12.2956199645996</v>
      </c>
      <c r="F4">
        <v>11.036430358886699</v>
      </c>
      <c r="G4">
        <v>3.7035000324249201</v>
      </c>
      <c r="H4" t="s">
        <v>25</v>
      </c>
      <c r="I4">
        <v>105.26300000000001</v>
      </c>
      <c r="J4">
        <v>0</v>
      </c>
      <c r="K4">
        <v>1.0159664154052701</v>
      </c>
      <c r="L4">
        <v>-7.34929129335314</v>
      </c>
      <c r="M4">
        <v>1.0455784797668399</v>
      </c>
      <c r="N4">
        <v>-10.8831091103178</v>
      </c>
      <c r="O4">
        <v>1.0281058549880899</v>
      </c>
      <c r="P4">
        <v>1.0281058549880899</v>
      </c>
      <c r="Q4">
        <v>33.707435607910099</v>
      </c>
      <c r="R4">
        <v>-2.5130703449249201</v>
      </c>
      <c r="S4">
        <v>21.441408157348601</v>
      </c>
      <c r="T4">
        <v>11.5194911956787</v>
      </c>
      <c r="U4">
        <v>10.907315254211399</v>
      </c>
      <c r="V4">
        <v>3.55280089378356</v>
      </c>
      <c r="W4">
        <v>0.97000002861022905</v>
      </c>
      <c r="X4">
        <v>-6.6492003125718204</v>
      </c>
      <c r="Y4">
        <v>1.0270403623580899</v>
      </c>
      <c r="Z4">
        <v>-10.266030541867</v>
      </c>
      <c r="AA4">
        <v>1.0167140960693299</v>
      </c>
      <c r="AB4">
        <v>-11.2163156229403</v>
      </c>
      <c r="AC4">
        <v>-95.154983520507798</v>
      </c>
      <c r="AD4">
        <v>0</v>
      </c>
      <c r="AE4">
        <v>0</v>
      </c>
      <c r="AF4" s="1">
        <f t="shared" si="0"/>
        <v>-1.698024749755902</v>
      </c>
      <c r="AG4" s="1">
        <f t="shared" si="1"/>
        <v>-0.40924263000490058</v>
      </c>
      <c r="AH4" s="1">
        <f t="shared" si="2"/>
        <v>-0.12911510467530007</v>
      </c>
      <c r="AI4" s="2">
        <f t="shared" si="3"/>
        <v>-4.795940322770708E-2</v>
      </c>
      <c r="AJ4" s="2">
        <f t="shared" si="4"/>
        <v>-1.8729081984219798E-2</v>
      </c>
      <c r="AK4" s="2">
        <f t="shared" si="5"/>
        <v>-1.1698991474298088E-2</v>
      </c>
    </row>
    <row r="5" spans="1:37" x14ac:dyDescent="0.45">
      <c r="A5">
        <v>4</v>
      </c>
      <c r="B5">
        <v>35.362438201904297</v>
      </c>
      <c r="C5">
        <v>-2.88522005081176</v>
      </c>
      <c r="D5">
        <v>21.824100494384702</v>
      </c>
      <c r="E5">
        <v>12.2806797027587</v>
      </c>
      <c r="F5">
        <v>11.0230197906494</v>
      </c>
      <c r="G5">
        <v>3.6989998817443799</v>
      </c>
      <c r="H5" t="s">
        <v>25</v>
      </c>
      <c r="I5">
        <v>105.26300000000001</v>
      </c>
      <c r="J5">
        <v>0</v>
      </c>
      <c r="K5">
        <v>1.0159894227981501</v>
      </c>
      <c r="L5">
        <v>-7.3386566887250497</v>
      </c>
      <c r="M5">
        <v>1.0456173419952299</v>
      </c>
      <c r="N5">
        <v>-10.868230396858101</v>
      </c>
      <c r="O5">
        <v>1.02815449237823</v>
      </c>
      <c r="P5">
        <v>1.02815449237823</v>
      </c>
      <c r="Q5">
        <v>33.665702819824197</v>
      </c>
      <c r="R5">
        <v>-2.5098493099212602</v>
      </c>
      <c r="S5">
        <v>21.415143966674801</v>
      </c>
      <c r="T5">
        <v>11.5051460266113</v>
      </c>
      <c r="U5">
        <v>10.8939914703369</v>
      </c>
      <c r="V5">
        <v>3.5484166145324698</v>
      </c>
      <c r="W5">
        <v>0.96999996900558405</v>
      </c>
      <c r="X5">
        <v>-6.6379697739335803</v>
      </c>
      <c r="Y5">
        <v>1.0270689725875799</v>
      </c>
      <c r="Z5">
        <v>-10.250500399109701</v>
      </c>
      <c r="AA5">
        <v>1.01675605773925</v>
      </c>
      <c r="AB5">
        <v>-11.199687527264601</v>
      </c>
      <c r="AC5">
        <v>-95.257125854492102</v>
      </c>
      <c r="AD5">
        <v>0</v>
      </c>
      <c r="AE5">
        <v>0</v>
      </c>
      <c r="AF5" s="1">
        <f t="shared" si="0"/>
        <v>-1.6967353820800994</v>
      </c>
      <c r="AG5" s="1">
        <f t="shared" si="1"/>
        <v>-0.40895652770990054</v>
      </c>
      <c r="AH5" s="1">
        <f t="shared" si="2"/>
        <v>-0.1290283203125</v>
      </c>
      <c r="AI5" s="2">
        <f t="shared" si="3"/>
        <v>-4.7981289423327397E-2</v>
      </c>
      <c r="AJ5" s="2">
        <f t="shared" si="4"/>
        <v>-1.8738757540780398E-2</v>
      </c>
      <c r="AK5" s="2">
        <f t="shared" si="5"/>
        <v>-1.1705351415766492E-2</v>
      </c>
    </row>
    <row r="6" spans="1:37" x14ac:dyDescent="0.45">
      <c r="A6">
        <v>5</v>
      </c>
      <c r="B6">
        <v>36.151138305663999</v>
      </c>
      <c r="C6">
        <v>-2.9495699405670099</v>
      </c>
      <c r="D6">
        <v>22.310850143432599</v>
      </c>
      <c r="E6">
        <v>12.5545797348022</v>
      </c>
      <c r="F6">
        <v>11.2688703536987</v>
      </c>
      <c r="G6">
        <v>3.78150010108947</v>
      </c>
      <c r="H6" t="s">
        <v>25</v>
      </c>
      <c r="I6">
        <v>105.26300000000001</v>
      </c>
      <c r="J6">
        <v>0</v>
      </c>
      <c r="K6">
        <v>1.0155328512191699</v>
      </c>
      <c r="L6">
        <v>-7.5337294543993396</v>
      </c>
      <c r="M6">
        <v>1.04488956928253</v>
      </c>
      <c r="N6">
        <v>-11.1412134235095</v>
      </c>
      <c r="O6">
        <v>1.02725434303283</v>
      </c>
      <c r="P6">
        <v>1.02725434303283</v>
      </c>
      <c r="Q6">
        <v>34.432243347167898</v>
      </c>
      <c r="R6">
        <v>-2.5692217350006099</v>
      </c>
      <c r="S6">
        <v>21.897016525268501</v>
      </c>
      <c r="T6">
        <v>11.768835067749</v>
      </c>
      <c r="U6">
        <v>11.138357162475501</v>
      </c>
      <c r="V6">
        <v>3.62894082069396</v>
      </c>
      <c r="W6">
        <v>0.96999996900558405</v>
      </c>
      <c r="X6">
        <v>-6.8441859933334497</v>
      </c>
      <c r="Y6">
        <v>1.0265418291091899</v>
      </c>
      <c r="Z6">
        <v>-10.5356035965463</v>
      </c>
      <c r="AA6">
        <v>1.01598560810089</v>
      </c>
      <c r="AB6">
        <v>-11.5049107546198</v>
      </c>
      <c r="AC6">
        <v>-93.376182556152301</v>
      </c>
      <c r="AD6">
        <v>0</v>
      </c>
      <c r="AE6">
        <v>0</v>
      </c>
      <c r="AF6" s="1">
        <f t="shared" si="0"/>
        <v>-1.7188949584961009</v>
      </c>
      <c r="AG6" s="1">
        <f t="shared" si="1"/>
        <v>-0.41383361816409803</v>
      </c>
      <c r="AH6" s="1">
        <f t="shared" si="2"/>
        <v>-0.1305131912231996</v>
      </c>
      <c r="AI6" s="2">
        <f t="shared" si="3"/>
        <v>-4.7547464313918771E-2</v>
      </c>
      <c r="AJ6" s="2">
        <f t="shared" si="4"/>
        <v>-1.8548536496979417E-2</v>
      </c>
      <c r="AK6" s="2">
        <f t="shared" si="5"/>
        <v>-1.1581745740855222E-2</v>
      </c>
    </row>
    <row r="7" spans="1:37" x14ac:dyDescent="0.45">
      <c r="A7">
        <v>6</v>
      </c>
      <c r="B7">
        <v>38.173080444335902</v>
      </c>
      <c r="C7">
        <v>-3.11454010009765</v>
      </c>
      <c r="D7">
        <v>23.558700561523398</v>
      </c>
      <c r="E7">
        <v>13.2567596435546</v>
      </c>
      <c r="F7">
        <v>11.899140357971101</v>
      </c>
      <c r="G7">
        <v>3.9930000305175701</v>
      </c>
      <c r="H7" t="s">
        <v>25</v>
      </c>
      <c r="I7">
        <v>105.26300000000001</v>
      </c>
      <c r="J7">
        <v>0</v>
      </c>
      <c r="K7">
        <v>1.0139729976653999</v>
      </c>
      <c r="L7">
        <v>-8.0353658720648298</v>
      </c>
      <c r="M7">
        <v>1.04284560680389</v>
      </c>
      <c r="N7">
        <v>-11.843828159210601</v>
      </c>
      <c r="O7">
        <v>1.0248292684555</v>
      </c>
      <c r="P7">
        <v>1.0248292684555</v>
      </c>
      <c r="Q7">
        <v>36.414695739746001</v>
      </c>
      <c r="R7">
        <v>-2.72522521018981</v>
      </c>
      <c r="S7">
        <v>23.136680603027301</v>
      </c>
      <c r="T7">
        <v>12.452658653259199</v>
      </c>
      <c r="U7">
        <v>11.7660322189331</v>
      </c>
      <c r="V7">
        <v>3.8367350101470898</v>
      </c>
      <c r="W7">
        <v>0.97000008821487405</v>
      </c>
      <c r="X7">
        <v>-7.3828130083107899</v>
      </c>
      <c r="Y7">
        <v>1.0251594781875599</v>
      </c>
      <c r="Z7">
        <v>-11.2830756000027</v>
      </c>
      <c r="AA7">
        <v>1.0139698982238701</v>
      </c>
      <c r="AB7">
        <v>-12.3046277292552</v>
      </c>
      <c r="AC7">
        <v>-88.355941772460895</v>
      </c>
      <c r="AD7">
        <v>0</v>
      </c>
      <c r="AE7">
        <v>0</v>
      </c>
      <c r="AF7" s="1">
        <f t="shared" si="0"/>
        <v>-1.7583847045899006</v>
      </c>
      <c r="AG7" s="1">
        <f t="shared" si="1"/>
        <v>-0.4220199584960973</v>
      </c>
      <c r="AH7" s="1">
        <f t="shared" si="2"/>
        <v>-0.13310813903800067</v>
      </c>
      <c r="AI7" s="2">
        <f t="shared" si="3"/>
        <v>-4.6063474158287598E-2</v>
      </c>
      <c r="AJ7" s="2">
        <f t="shared" si="4"/>
        <v>-1.7913549917322257E-2</v>
      </c>
      <c r="AK7" s="2">
        <f t="shared" si="5"/>
        <v>-1.1186365992299017E-2</v>
      </c>
    </row>
    <row r="8" spans="1:37" x14ac:dyDescent="0.45">
      <c r="A8">
        <v>7</v>
      </c>
      <c r="B8">
        <v>41.232280731201101</v>
      </c>
      <c r="C8">
        <v>-3.3641402721404998</v>
      </c>
      <c r="D8">
        <v>25.446697235107401</v>
      </c>
      <c r="E8">
        <v>14.3191604614257</v>
      </c>
      <c r="F8">
        <v>12.8527402877807</v>
      </c>
      <c r="G8">
        <v>4.3130002021789497</v>
      </c>
      <c r="H8" t="s">
        <v>25</v>
      </c>
      <c r="I8">
        <v>105.26300000000001</v>
      </c>
      <c r="J8">
        <v>0</v>
      </c>
      <c r="K8">
        <v>1.0115343332290601</v>
      </c>
      <c r="L8">
        <v>-8.80070735808909</v>
      </c>
      <c r="M8">
        <v>1.03969419002532</v>
      </c>
      <c r="N8">
        <v>-12.9156137689146</v>
      </c>
      <c r="O8">
        <v>1.0211113691329901</v>
      </c>
      <c r="P8">
        <v>1.0211113691329901</v>
      </c>
      <c r="Q8">
        <v>39.4288940429687</v>
      </c>
      <c r="R8">
        <v>-2.9646065235137899</v>
      </c>
      <c r="S8">
        <v>25.0163555145263</v>
      </c>
      <c r="T8">
        <v>13.4947032928466</v>
      </c>
      <c r="U8">
        <v>12.717164993286101</v>
      </c>
      <c r="V8">
        <v>4.15276622772216</v>
      </c>
      <c r="W8">
        <v>0.97000002861022905</v>
      </c>
      <c r="X8">
        <v>-8.1996720503613307</v>
      </c>
      <c r="Y8">
        <v>1.0230461359023999</v>
      </c>
      <c r="Z8">
        <v>-12.4110156104451</v>
      </c>
      <c r="AA8">
        <v>1.0109070539474401</v>
      </c>
      <c r="AB8">
        <v>-13.5116604771849</v>
      </c>
      <c r="AC8">
        <v>-80.644760131835895</v>
      </c>
      <c r="AD8">
        <v>0</v>
      </c>
      <c r="AE8">
        <v>0</v>
      </c>
      <c r="AF8" s="1">
        <f t="shared" si="0"/>
        <v>-1.8033866882324006</v>
      </c>
      <c r="AG8" s="1">
        <f t="shared" si="1"/>
        <v>-0.43034172058110087</v>
      </c>
      <c r="AH8" s="1">
        <f t="shared" si="2"/>
        <v>-0.13557529449459871</v>
      </c>
      <c r="AI8" s="2">
        <f t="shared" si="3"/>
        <v>-4.3737252857510504E-2</v>
      </c>
      <c r="AJ8" s="2">
        <f t="shared" si="4"/>
        <v>-1.6911496081596877E-2</v>
      </c>
      <c r="AK8" s="2">
        <f t="shared" si="5"/>
        <v>-1.0548357117547319E-2</v>
      </c>
    </row>
    <row r="9" spans="1:37" x14ac:dyDescent="0.45">
      <c r="A9">
        <v>8</v>
      </c>
      <c r="B9">
        <v>43.3020210266113</v>
      </c>
      <c r="C9">
        <v>-3.5330102443695002</v>
      </c>
      <c r="D9">
        <v>26.7240486145019</v>
      </c>
      <c r="E9">
        <v>15.037940025329499</v>
      </c>
      <c r="F9">
        <v>13.4979095458984</v>
      </c>
      <c r="G9">
        <v>4.5295000076293901</v>
      </c>
      <c r="H9" t="s">
        <v>25</v>
      </c>
      <c r="I9">
        <v>105.26300000000001</v>
      </c>
      <c r="J9">
        <v>0</v>
      </c>
      <c r="K9">
        <v>1.0098292827606199</v>
      </c>
      <c r="L9">
        <v>-9.3230657160988404</v>
      </c>
      <c r="M9">
        <v>1.0375211238861</v>
      </c>
      <c r="N9">
        <v>-13.6469887239077</v>
      </c>
      <c r="O9">
        <v>1.0185617208480799</v>
      </c>
      <c r="P9">
        <v>1.0185617208480799</v>
      </c>
      <c r="Q9">
        <v>41.478733062744098</v>
      </c>
      <c r="R9">
        <v>-3.1289830207824698</v>
      </c>
      <c r="S9">
        <v>26.290794372558501</v>
      </c>
      <c r="T9">
        <v>14.204732894897401</v>
      </c>
      <c r="U9">
        <v>13.361528396606399</v>
      </c>
      <c r="V9">
        <v>4.3675584793090803</v>
      </c>
      <c r="W9">
        <v>0.97000002861022905</v>
      </c>
      <c r="X9">
        <v>-8.7578445055884107</v>
      </c>
      <c r="Y9">
        <v>1.0215938091278001</v>
      </c>
      <c r="Z9">
        <v>-13.1805935213381</v>
      </c>
      <c r="AA9">
        <v>1.00881075859069</v>
      </c>
      <c r="AB9">
        <v>-14.3351823688274</v>
      </c>
      <c r="AC9">
        <v>-75.281982421875</v>
      </c>
      <c r="AD9">
        <v>0</v>
      </c>
      <c r="AE9">
        <v>0</v>
      </c>
      <c r="AF9" s="1">
        <f t="shared" si="0"/>
        <v>-1.8232879638672017</v>
      </c>
      <c r="AG9" s="1">
        <f t="shared" si="1"/>
        <v>-0.43325424194339845</v>
      </c>
      <c r="AH9" s="1">
        <f t="shared" si="2"/>
        <v>-0.13638114929200107</v>
      </c>
      <c r="AI9" s="2">
        <f t="shared" si="3"/>
        <v>-4.210630175313753E-2</v>
      </c>
      <c r="AJ9" s="2">
        <f t="shared" si="4"/>
        <v>-1.6212148398363994E-2</v>
      </c>
      <c r="AK9" s="2">
        <f t="shared" si="5"/>
        <v>-1.0103871923889363E-2</v>
      </c>
    </row>
    <row r="10" spans="1:37" x14ac:dyDescent="0.45">
      <c r="A10">
        <v>9</v>
      </c>
      <c r="B10">
        <v>43.885181427001903</v>
      </c>
      <c r="C10">
        <v>-3.5805900096893302</v>
      </c>
      <c r="D10">
        <v>27.0839519500732</v>
      </c>
      <c r="E10">
        <v>15.240460395812899</v>
      </c>
      <c r="F10">
        <v>13.679690361022899</v>
      </c>
      <c r="G10">
        <v>4.5904998779296804</v>
      </c>
      <c r="H10" t="s">
        <v>25</v>
      </c>
      <c r="I10">
        <v>105.26300000000001</v>
      </c>
      <c r="J10">
        <v>0</v>
      </c>
      <c r="K10">
        <v>1.0093407630920399</v>
      </c>
      <c r="L10">
        <v>-9.4709324826970693</v>
      </c>
      <c r="M10">
        <v>1.0369025468826201</v>
      </c>
      <c r="N10">
        <v>-13.8540040754473</v>
      </c>
      <c r="O10">
        <v>1.01783812046051</v>
      </c>
      <c r="P10">
        <v>1.01783812046051</v>
      </c>
      <c r="Q10">
        <v>42.057876586913999</v>
      </c>
      <c r="R10">
        <v>-3.17566466331481</v>
      </c>
      <c r="S10">
        <v>26.650289535522401</v>
      </c>
      <c r="T10">
        <v>14.4055528640747</v>
      </c>
      <c r="U10">
        <v>13.5432138442993</v>
      </c>
      <c r="V10">
        <v>4.4282288551330504</v>
      </c>
      <c r="W10">
        <v>0.97000002861022905</v>
      </c>
      <c r="X10">
        <v>-8.9159428956502609</v>
      </c>
      <c r="Y10">
        <v>1.0211811065673799</v>
      </c>
      <c r="Z10">
        <v>-13.3983903265741</v>
      </c>
      <c r="AA10">
        <v>1.00821661949157</v>
      </c>
      <c r="AB10">
        <v>-14.568238670572599</v>
      </c>
      <c r="AC10">
        <v>-73.749320983886705</v>
      </c>
      <c r="AD10">
        <v>0</v>
      </c>
      <c r="AE10">
        <v>0</v>
      </c>
      <c r="AF10" s="1">
        <f t="shared" si="0"/>
        <v>-1.8273048400879048</v>
      </c>
      <c r="AG10" s="1">
        <f t="shared" si="1"/>
        <v>-0.43366241455079901</v>
      </c>
      <c r="AH10" s="1">
        <f t="shared" si="2"/>
        <v>-0.13647651672359906</v>
      </c>
      <c r="AI10" s="2">
        <f t="shared" si="3"/>
        <v>-4.1638311171788643E-2</v>
      </c>
      <c r="AJ10" s="2">
        <f t="shared" si="4"/>
        <v>-1.6011784962187799E-2</v>
      </c>
      <c r="AK10" s="2">
        <f t="shared" si="5"/>
        <v>-9.9765793758356692E-3</v>
      </c>
    </row>
    <row r="11" spans="1:37" x14ac:dyDescent="0.45">
      <c r="A11">
        <v>10</v>
      </c>
      <c r="B11">
        <v>44.119400024413999</v>
      </c>
      <c r="C11">
        <v>-3.5996999740600502</v>
      </c>
      <c r="D11">
        <v>27.228502273559499</v>
      </c>
      <c r="E11">
        <v>15.3218002319335</v>
      </c>
      <c r="F11">
        <v>13.752700805664</v>
      </c>
      <c r="G11">
        <v>4.6149997711181596</v>
      </c>
      <c r="H11" t="s">
        <v>25</v>
      </c>
      <c r="I11">
        <v>105.157737</v>
      </c>
      <c r="J11">
        <v>0</v>
      </c>
      <c r="K11">
        <v>1.00914347171783</v>
      </c>
      <c r="L11">
        <v>-9.5304089167213402</v>
      </c>
      <c r="M11">
        <v>1.03665339946746</v>
      </c>
      <c r="N11">
        <v>-13.9372674972319</v>
      </c>
      <c r="O11">
        <v>1.0175470113754199</v>
      </c>
      <c r="P11">
        <v>1.0175470113754199</v>
      </c>
      <c r="Q11">
        <v>42.290679931640597</v>
      </c>
      <c r="R11">
        <v>-3.1944611072540199</v>
      </c>
      <c r="S11">
        <v>26.794725418090799</v>
      </c>
      <c r="T11">
        <v>14.4863080978393</v>
      </c>
      <c r="U11">
        <v>13.6161994934082</v>
      </c>
      <c r="V11">
        <v>4.4526119232177699</v>
      </c>
      <c r="W11">
        <v>0.97000002861022905</v>
      </c>
      <c r="X11">
        <v>-8.9795439101946304</v>
      </c>
      <c r="Y11">
        <v>1.0210149288177399</v>
      </c>
      <c r="Z11">
        <v>-13.4859857958766</v>
      </c>
      <c r="AA11">
        <v>1.0079774856567301</v>
      </c>
      <c r="AB11">
        <v>-14.6619693573492</v>
      </c>
      <c r="AC11">
        <v>-73.131050109863196</v>
      </c>
      <c r="AD11">
        <v>0</v>
      </c>
      <c r="AE11">
        <v>0</v>
      </c>
      <c r="AF11" s="1">
        <f t="shared" si="0"/>
        <v>-1.828720092773402</v>
      </c>
      <c r="AG11" s="1">
        <f t="shared" si="1"/>
        <v>-0.43377685546870026</v>
      </c>
      <c r="AH11" s="1">
        <f t="shared" si="2"/>
        <v>-0.13650131225580076</v>
      </c>
      <c r="AI11" s="2">
        <f t="shared" si="3"/>
        <v>-4.1449341826077818E-2</v>
      </c>
      <c r="AJ11" s="2">
        <f t="shared" si="4"/>
        <v>-1.5930984786112289E-2</v>
      </c>
      <c r="AK11" s="2">
        <f t="shared" si="5"/>
        <v>-9.9254185912037857E-3</v>
      </c>
    </row>
    <row r="12" spans="1:37" x14ac:dyDescent="0.45">
      <c r="A12">
        <v>11</v>
      </c>
      <c r="B12">
        <v>44.267578125</v>
      </c>
      <c r="C12">
        <v>-3.61178994178771</v>
      </c>
      <c r="D12">
        <v>27.319950103759702</v>
      </c>
      <c r="E12">
        <v>15.3732595443725</v>
      </c>
      <c r="F12">
        <v>13.7988891601562</v>
      </c>
      <c r="G12">
        <v>4.6304998397827104</v>
      </c>
      <c r="H12" t="s">
        <v>25</v>
      </c>
      <c r="I12">
        <v>104.841948</v>
      </c>
      <c r="J12">
        <v>0</v>
      </c>
      <c r="K12">
        <v>1.0090184211730899</v>
      </c>
      <c r="L12">
        <v>-9.5680620423883198</v>
      </c>
      <c r="M12">
        <v>1.0364956855773899</v>
      </c>
      <c r="N12">
        <v>-13.9899794825994</v>
      </c>
      <c r="O12">
        <v>1.01736259460449</v>
      </c>
      <c r="P12">
        <v>1.01736259460449</v>
      </c>
      <c r="Q12">
        <v>42.438026428222599</v>
      </c>
      <c r="R12">
        <v>-3.2063651084899898</v>
      </c>
      <c r="S12">
        <v>26.8861179351806</v>
      </c>
      <c r="T12">
        <v>14.5374240875244</v>
      </c>
      <c r="U12">
        <v>13.662380218505801</v>
      </c>
      <c r="V12">
        <v>4.4680447578430096</v>
      </c>
      <c r="W12">
        <v>0.97000002861022905</v>
      </c>
      <c r="X12">
        <v>-9.0198129983359507</v>
      </c>
      <c r="Y12">
        <v>1.0209097862243599</v>
      </c>
      <c r="Z12">
        <v>-13.541439248445601</v>
      </c>
      <c r="AA12">
        <v>1.0078260898589999</v>
      </c>
      <c r="AB12">
        <v>-14.721308333815299</v>
      </c>
      <c r="AC12">
        <v>-72.739097595214801</v>
      </c>
      <c r="AD12">
        <v>0</v>
      </c>
      <c r="AE12">
        <v>0</v>
      </c>
      <c r="AF12" s="1">
        <f t="shared" si="0"/>
        <v>-1.8295516967774006</v>
      </c>
      <c r="AG12" s="1">
        <f t="shared" si="1"/>
        <v>-0.43383216857910156</v>
      </c>
      <c r="AH12" s="1">
        <f t="shared" si="2"/>
        <v>-0.13650894165039951</v>
      </c>
      <c r="AI12" s="2">
        <f t="shared" si="3"/>
        <v>-4.1329383134790607E-2</v>
      </c>
      <c r="AJ12" s="2">
        <f t="shared" si="4"/>
        <v>-1.5879683781684459E-2</v>
      </c>
      <c r="AK12" s="2">
        <f t="shared" si="5"/>
        <v>-9.892748616646926E-3</v>
      </c>
    </row>
    <row r="13" spans="1:37" x14ac:dyDescent="0.45">
      <c r="A13">
        <v>12</v>
      </c>
      <c r="B13">
        <v>44.415760040283203</v>
      </c>
      <c r="C13">
        <v>-3.62388014793396</v>
      </c>
      <c r="D13">
        <v>27.411401748657202</v>
      </c>
      <c r="E13">
        <v>15.424719810485801</v>
      </c>
      <c r="F13">
        <v>13.8450803756713</v>
      </c>
      <c r="G13">
        <v>4.6459999084472603</v>
      </c>
      <c r="H13" t="s">
        <v>25</v>
      </c>
      <c r="I13">
        <v>104.52615900000001</v>
      </c>
      <c r="J13">
        <v>0</v>
      </c>
      <c r="K13">
        <v>1.0088930130004801</v>
      </c>
      <c r="L13">
        <v>-9.6057365123966303</v>
      </c>
      <c r="M13">
        <v>1.03633749485015</v>
      </c>
      <c r="N13">
        <v>-14.042720496271199</v>
      </c>
      <c r="O13">
        <v>1.01717805862426</v>
      </c>
      <c r="P13">
        <v>1.01717805862426</v>
      </c>
      <c r="Q13">
        <v>42.585426330566399</v>
      </c>
      <c r="R13">
        <v>-3.21828269958496</v>
      </c>
      <c r="S13">
        <v>26.9775295257568</v>
      </c>
      <c r="T13">
        <v>14.5885705947875</v>
      </c>
      <c r="U13">
        <v>13.7085628509521</v>
      </c>
      <c r="V13">
        <v>4.4834823608398402</v>
      </c>
      <c r="W13">
        <v>0.97000002861022905</v>
      </c>
      <c r="X13">
        <v>-9.0601076996868795</v>
      </c>
      <c r="Y13">
        <v>1.0208044052123999</v>
      </c>
      <c r="Z13">
        <v>-13.5969225830924</v>
      </c>
      <c r="AA13">
        <v>1.00767457485198</v>
      </c>
      <c r="AB13">
        <v>-14.7806780461329</v>
      </c>
      <c r="AC13">
        <v>-72.346504211425696</v>
      </c>
      <c r="AD13">
        <v>0</v>
      </c>
      <c r="AE13">
        <v>0</v>
      </c>
      <c r="AF13" s="1">
        <f t="shared" si="0"/>
        <v>-1.830333709716804</v>
      </c>
      <c r="AG13" s="1">
        <f t="shared" si="1"/>
        <v>-0.43387222290040128</v>
      </c>
      <c r="AH13" s="1">
        <f t="shared" si="2"/>
        <v>-0.1365175247191992</v>
      </c>
      <c r="AI13" s="2">
        <f t="shared" si="3"/>
        <v>-4.1209104787507167E-2</v>
      </c>
      <c r="AJ13" s="2">
        <f t="shared" si="4"/>
        <v>-1.5828166209035818E-2</v>
      </c>
      <c r="AK13" s="2">
        <f t="shared" si="5"/>
        <v>-9.8603634659347322E-3</v>
      </c>
    </row>
    <row r="14" spans="1:37" x14ac:dyDescent="0.45">
      <c r="A14">
        <v>13</v>
      </c>
      <c r="B14">
        <v>44.559158325195298</v>
      </c>
      <c r="C14">
        <v>-3.63558006286621</v>
      </c>
      <c r="D14">
        <v>27.499902725219702</v>
      </c>
      <c r="E14">
        <v>15.474518775939901</v>
      </c>
      <c r="F14">
        <v>13.889780998229901</v>
      </c>
      <c r="G14">
        <v>4.6609997749328604</v>
      </c>
      <c r="H14" t="s">
        <v>25</v>
      </c>
      <c r="I14">
        <v>104.52615900000001</v>
      </c>
      <c r="J14">
        <v>0</v>
      </c>
      <c r="K14">
        <v>1.00877153873443</v>
      </c>
      <c r="L14">
        <v>-9.6422139917427305</v>
      </c>
      <c r="M14">
        <v>1.0361844301223699</v>
      </c>
      <c r="N14">
        <v>-14.0937864060348</v>
      </c>
      <c r="O14">
        <v>1.0169992446899401</v>
      </c>
      <c r="P14">
        <v>1.0169992446899401</v>
      </c>
      <c r="Q14">
        <v>42.728103637695298</v>
      </c>
      <c r="R14">
        <v>-3.2298240661621</v>
      </c>
      <c r="S14">
        <v>27.065992355346602</v>
      </c>
      <c r="T14">
        <v>14.638072013854901</v>
      </c>
      <c r="U14">
        <v>13.753262519836399</v>
      </c>
      <c r="V14">
        <v>4.4984245300292898</v>
      </c>
      <c r="W14">
        <v>0.97000002861022905</v>
      </c>
      <c r="X14">
        <v>-9.0991243018785095</v>
      </c>
      <c r="Y14">
        <v>1.02070236206054</v>
      </c>
      <c r="Z14">
        <v>-13.650641167597399</v>
      </c>
      <c r="AA14">
        <v>1.0075278282165501</v>
      </c>
      <c r="AB14">
        <v>-14.8381609186762</v>
      </c>
      <c r="AC14">
        <v>-71.965980529785099</v>
      </c>
      <c r="AD14">
        <v>0</v>
      </c>
      <c r="AE14">
        <v>0</v>
      </c>
      <c r="AF14" s="1">
        <f t="shared" si="0"/>
        <v>-1.8310546875</v>
      </c>
      <c r="AG14" s="1">
        <f t="shared" si="1"/>
        <v>-0.43391036987310017</v>
      </c>
      <c r="AH14" s="1">
        <f t="shared" si="2"/>
        <v>-0.1365184783935014</v>
      </c>
      <c r="AI14" s="2">
        <f t="shared" si="3"/>
        <v>-4.1092667732564821E-2</v>
      </c>
      <c r="AJ14" s="2">
        <f t="shared" si="4"/>
        <v>-1.5778614717613826E-2</v>
      </c>
      <c r="AK14" s="2">
        <f t="shared" si="5"/>
        <v>-9.828699128582313E-3</v>
      </c>
    </row>
    <row r="15" spans="1:37" x14ac:dyDescent="0.45">
      <c r="A15">
        <v>14</v>
      </c>
      <c r="B15">
        <v>44.6356391906738</v>
      </c>
      <c r="C15">
        <v>-3.6418199539184499</v>
      </c>
      <c r="D15">
        <v>27.547100067138601</v>
      </c>
      <c r="E15">
        <v>15.5010786056518</v>
      </c>
      <c r="F15">
        <v>13.9136199951171</v>
      </c>
      <c r="G15">
        <v>4.6690001487731898</v>
      </c>
      <c r="H15" t="s">
        <v>25</v>
      </c>
      <c r="I15">
        <v>104.73668499999999</v>
      </c>
      <c r="J15">
        <v>0</v>
      </c>
      <c r="K15">
        <v>1.00870656967163</v>
      </c>
      <c r="L15">
        <v>-9.66167661594808</v>
      </c>
      <c r="M15">
        <v>1.0361027717590301</v>
      </c>
      <c r="N15">
        <v>-14.1210303233182</v>
      </c>
      <c r="O15">
        <v>1.0169038772582999</v>
      </c>
      <c r="P15">
        <v>1.0169038772582999</v>
      </c>
      <c r="Q15">
        <v>42.804222106933501</v>
      </c>
      <c r="R15">
        <v>-3.2359845638275102</v>
      </c>
      <c r="S15">
        <v>27.113182067871001</v>
      </c>
      <c r="T15">
        <v>14.664490699768001</v>
      </c>
      <c r="U15">
        <v>13.7771043777465</v>
      </c>
      <c r="V15">
        <v>4.5063982009887598</v>
      </c>
      <c r="W15">
        <v>0.97000002861022905</v>
      </c>
      <c r="X15">
        <v>-9.1199427186456301</v>
      </c>
      <c r="Y15">
        <v>1.0206480026245099</v>
      </c>
      <c r="Z15">
        <v>-13.679301495372</v>
      </c>
      <c r="AA15">
        <v>1.0074496269226001</v>
      </c>
      <c r="AB15">
        <v>-14.8688284683102</v>
      </c>
      <c r="AC15">
        <v>-71.762802124023395</v>
      </c>
      <c r="AD15">
        <v>0</v>
      </c>
      <c r="AE15">
        <v>0</v>
      </c>
      <c r="AF15" s="1">
        <f t="shared" si="0"/>
        <v>-1.8314170837402983</v>
      </c>
      <c r="AG15" s="1">
        <f t="shared" si="1"/>
        <v>-0.43391799926759944</v>
      </c>
      <c r="AH15" s="1">
        <f t="shared" si="2"/>
        <v>-0.13651561737060014</v>
      </c>
      <c r="AI15" s="2">
        <f t="shared" si="3"/>
        <v>-4.1030376554413849E-2</v>
      </c>
      <c r="AJ15" s="2">
        <f t="shared" si="4"/>
        <v>-1.5751857662332579E-2</v>
      </c>
      <c r="AK15" s="2">
        <f t="shared" si="5"/>
        <v>-9.8116534315662966E-3</v>
      </c>
    </row>
    <row r="16" spans="1:37" x14ac:dyDescent="0.45">
      <c r="A16">
        <v>15</v>
      </c>
      <c r="B16">
        <v>44.951118469238203</v>
      </c>
      <c r="C16">
        <v>-3.6675601005554199</v>
      </c>
      <c r="D16">
        <v>27.741802215576101</v>
      </c>
      <c r="E16">
        <v>15.6106395721435</v>
      </c>
      <c r="F16">
        <v>14.011960029601999</v>
      </c>
      <c r="G16">
        <v>4.7020001411437899</v>
      </c>
      <c r="H16" t="s">
        <v>25</v>
      </c>
      <c r="I16">
        <v>105.052474</v>
      </c>
      <c r="J16">
        <v>0</v>
      </c>
      <c r="K16">
        <v>1.0084382295608501</v>
      </c>
      <c r="L16">
        <v>-9.7420175705167598</v>
      </c>
      <c r="M16">
        <v>1.0357651710510201</v>
      </c>
      <c r="N16">
        <v>-14.233497926694699</v>
      </c>
      <c r="O16">
        <v>1.0165100097656199</v>
      </c>
      <c r="P16">
        <v>1.0165100097656199</v>
      </c>
      <c r="Q16">
        <v>43.118328094482401</v>
      </c>
      <c r="R16">
        <v>-3.2614252567291202</v>
      </c>
      <c r="S16">
        <v>27.307861328125</v>
      </c>
      <c r="T16">
        <v>14.7735147476196</v>
      </c>
      <c r="U16">
        <v>13.875452995300201</v>
      </c>
      <c r="V16">
        <v>4.5392923355102504</v>
      </c>
      <c r="W16">
        <v>0.97000002861022905</v>
      </c>
      <c r="X16">
        <v>-9.2058869897022806</v>
      </c>
      <c r="Y16">
        <v>1.0204230546951201</v>
      </c>
      <c r="Z16">
        <v>-13.797608056764901</v>
      </c>
      <c r="AA16">
        <v>1.0071263313293399</v>
      </c>
      <c r="AB16">
        <v>-14.995419195463001</v>
      </c>
      <c r="AC16">
        <v>-70.922897338867102</v>
      </c>
      <c r="AD16">
        <v>0</v>
      </c>
      <c r="AE16">
        <v>0</v>
      </c>
      <c r="AF16" s="1">
        <f t="shared" si="0"/>
        <v>-1.8327903747558025</v>
      </c>
      <c r="AG16" s="1">
        <f t="shared" si="1"/>
        <v>-0.43394088745110082</v>
      </c>
      <c r="AH16" s="1">
        <f t="shared" si="2"/>
        <v>-0.13650703430179867</v>
      </c>
      <c r="AI16" s="2">
        <f t="shared" si="3"/>
        <v>-4.0772964882065221E-2</v>
      </c>
      <c r="AJ16" s="2">
        <f t="shared" si="4"/>
        <v>-1.5642130387890137E-2</v>
      </c>
      <c r="AK16" s="2">
        <f t="shared" si="5"/>
        <v>-9.7421798244792784E-3</v>
      </c>
    </row>
    <row r="17" spans="1:37" x14ac:dyDescent="0.45">
      <c r="A17">
        <v>16</v>
      </c>
      <c r="B17">
        <v>45.859321594238203</v>
      </c>
      <c r="C17">
        <v>-3.7416598796844398</v>
      </c>
      <c r="D17">
        <v>28.302299499511701</v>
      </c>
      <c r="E17">
        <v>15.926038742065399</v>
      </c>
      <c r="F17">
        <v>14.2950592041015</v>
      </c>
      <c r="G17">
        <v>4.7969999313354403</v>
      </c>
      <c r="H17" t="s">
        <v>25</v>
      </c>
      <c r="I17">
        <v>105.157737</v>
      </c>
      <c r="J17">
        <v>0</v>
      </c>
      <c r="K17">
        <v>1.0076440572738601</v>
      </c>
      <c r="L17">
        <v>-9.9747759052568608</v>
      </c>
      <c r="M17">
        <v>1.0347818136215201</v>
      </c>
      <c r="N17">
        <v>-14.5589683962428</v>
      </c>
      <c r="O17">
        <v>1.0153677463531401</v>
      </c>
      <c r="P17">
        <v>1.0153677463531401</v>
      </c>
      <c r="Q17">
        <v>44.024459838867102</v>
      </c>
      <c r="R17">
        <v>-3.3350949287414502</v>
      </c>
      <c r="S17">
        <v>27.868801116943299</v>
      </c>
      <c r="T17">
        <v>15.0882959365844</v>
      </c>
      <c r="U17">
        <v>14.158743858337401</v>
      </c>
      <c r="V17">
        <v>4.6341733932495099</v>
      </c>
      <c r="W17">
        <v>0.97000002861022905</v>
      </c>
      <c r="X17">
        <v>-9.4539995898270597</v>
      </c>
      <c r="Y17">
        <v>1.0197725296020499</v>
      </c>
      <c r="Z17">
        <v>-14.139000551177199</v>
      </c>
      <c r="AA17">
        <v>1.00619268417358</v>
      </c>
      <c r="AB17">
        <v>-15.360709668210699</v>
      </c>
      <c r="AC17">
        <v>-68.487586975097599</v>
      </c>
      <c r="AD17">
        <v>0</v>
      </c>
      <c r="AE17">
        <v>0</v>
      </c>
      <c r="AF17" s="1">
        <f t="shared" si="0"/>
        <v>-1.8348617553711009</v>
      </c>
      <c r="AG17" s="1">
        <f t="shared" si="1"/>
        <v>-0.43349838256840201</v>
      </c>
      <c r="AH17" s="1">
        <f t="shared" si="2"/>
        <v>-0.13631534576409976</v>
      </c>
      <c r="AI17" s="2">
        <f t="shared" si="3"/>
        <v>-4.0010660681069343E-2</v>
      </c>
      <c r="AJ17" s="2">
        <f t="shared" si="4"/>
        <v>-1.5316719497505181E-2</v>
      </c>
      <c r="AK17" s="2">
        <f t="shared" si="5"/>
        <v>-9.5358363905893116E-3</v>
      </c>
    </row>
    <row r="18" spans="1:37" x14ac:dyDescent="0.45">
      <c r="A18">
        <v>17</v>
      </c>
      <c r="B18">
        <v>47.2407417297363</v>
      </c>
      <c r="C18">
        <v>-3.8543701171875</v>
      </c>
      <c r="D18">
        <v>29.154850006103501</v>
      </c>
      <c r="E18">
        <v>16.4057807922363</v>
      </c>
      <c r="F18">
        <v>14.725669860839799</v>
      </c>
      <c r="G18">
        <v>4.9415001869201598</v>
      </c>
      <c r="H18" t="s">
        <v>25</v>
      </c>
      <c r="I18">
        <v>105.26300000000001</v>
      </c>
      <c r="J18">
        <v>0</v>
      </c>
      <c r="K18">
        <v>1.00643718242645</v>
      </c>
      <c r="L18">
        <v>-10.3292132073211</v>
      </c>
      <c r="M18">
        <v>1.03328132629394</v>
      </c>
      <c r="N18">
        <v>-15.0549374643963</v>
      </c>
      <c r="O18">
        <v>1.0136250257492001</v>
      </c>
      <c r="P18">
        <v>1.0136250257492001</v>
      </c>
      <c r="Q18">
        <v>45.4054145812988</v>
      </c>
      <c r="R18">
        <v>-3.4477896690368599</v>
      </c>
      <c r="S18">
        <v>28.722690582275298</v>
      </c>
      <c r="T18">
        <v>15.568386077880801</v>
      </c>
      <c r="U18">
        <v>14.5898523330688</v>
      </c>
      <c r="V18">
        <v>4.7787351608276296</v>
      </c>
      <c r="W18">
        <v>0.97000002861022905</v>
      </c>
      <c r="X18">
        <v>-9.8331143655723299</v>
      </c>
      <c r="Y18">
        <v>1.01877653598785</v>
      </c>
      <c r="Z18">
        <v>-14.660261810042201</v>
      </c>
      <c r="AA18">
        <v>1.00476539134979</v>
      </c>
      <c r="AB18">
        <v>-15.9184526752901</v>
      </c>
      <c r="AC18">
        <v>-64.7388916015625</v>
      </c>
      <c r="AD18">
        <v>0</v>
      </c>
      <c r="AE18">
        <v>0</v>
      </c>
      <c r="AF18" s="1">
        <f t="shared" si="0"/>
        <v>-1.8353271484375</v>
      </c>
      <c r="AG18" s="1">
        <f t="shared" si="1"/>
        <v>-0.43215942382820316</v>
      </c>
      <c r="AH18" s="1">
        <f t="shared" si="2"/>
        <v>-0.13581752777099965</v>
      </c>
      <c r="AI18" s="2">
        <f t="shared" si="3"/>
        <v>-3.8850515068907764E-2</v>
      </c>
      <c r="AJ18" s="2">
        <f t="shared" si="4"/>
        <v>-1.4822899920175599E-2</v>
      </c>
      <c r="AK18" s="2">
        <f t="shared" si="5"/>
        <v>-9.2231816314299764E-3</v>
      </c>
    </row>
    <row r="19" spans="1:37" x14ac:dyDescent="0.45">
      <c r="A19">
        <v>18</v>
      </c>
      <c r="B19">
        <v>47.799999237060497</v>
      </c>
      <c r="C19">
        <v>-3.9000000953674299</v>
      </c>
      <c r="D19">
        <v>29.4999980926513</v>
      </c>
      <c r="E19">
        <v>16.600000381469702</v>
      </c>
      <c r="F19">
        <v>14.8999986648559</v>
      </c>
      <c r="G19">
        <v>5</v>
      </c>
      <c r="H19" t="s">
        <v>25</v>
      </c>
      <c r="I19">
        <v>105.26300000000001</v>
      </c>
      <c r="J19">
        <v>0</v>
      </c>
      <c r="K19">
        <v>1.00594234466552</v>
      </c>
      <c r="L19">
        <v>-10.4732499453097</v>
      </c>
      <c r="M19">
        <v>1.03266930580139</v>
      </c>
      <c r="N19">
        <v>-15.256469027759399</v>
      </c>
      <c r="O19">
        <v>1.0129156112670801</v>
      </c>
      <c r="P19">
        <v>1.0129156112670801</v>
      </c>
      <c r="Q19">
        <v>45.965702056884702</v>
      </c>
      <c r="R19">
        <v>-3.4937028884887602</v>
      </c>
      <c r="S19">
        <v>29.068696975708001</v>
      </c>
      <c r="T19">
        <v>15.7633361816406</v>
      </c>
      <c r="U19">
        <v>14.7644834518432</v>
      </c>
      <c r="V19">
        <v>4.8373794555664</v>
      </c>
      <c r="W19">
        <v>0.97000002861022905</v>
      </c>
      <c r="X19">
        <v>-9.9872281939932694</v>
      </c>
      <c r="Y19">
        <v>1.01837062835693</v>
      </c>
      <c r="Z19">
        <v>-14.8720232893216</v>
      </c>
      <c r="AA19">
        <v>1.00418496131896</v>
      </c>
      <c r="AB19">
        <v>-16.1450254199105</v>
      </c>
      <c r="AC19">
        <v>-63.205249786376903</v>
      </c>
      <c r="AD19">
        <v>0</v>
      </c>
      <c r="AE19">
        <v>0</v>
      </c>
      <c r="AF19" s="1">
        <f t="shared" si="0"/>
        <v>-1.8342971801757955</v>
      </c>
      <c r="AG19" s="1">
        <f t="shared" si="1"/>
        <v>-0.43130111694329898</v>
      </c>
      <c r="AH19" s="1">
        <f t="shared" si="2"/>
        <v>-0.13551521301270064</v>
      </c>
      <c r="AI19" s="2">
        <f t="shared" si="3"/>
        <v>-3.8374418607806597E-2</v>
      </c>
      <c r="AJ19" s="2">
        <f t="shared" si="4"/>
        <v>-1.4620377790829069E-2</v>
      </c>
      <c r="AK19" s="2">
        <f t="shared" si="5"/>
        <v>-9.0949815540813158E-3</v>
      </c>
    </row>
    <row r="20" spans="1:37" x14ac:dyDescent="0.45">
      <c r="A20">
        <v>19</v>
      </c>
      <c r="B20">
        <v>47.637481689453097</v>
      </c>
      <c r="C20">
        <v>-3.88673996925354</v>
      </c>
      <c r="D20">
        <v>29.3996982574462</v>
      </c>
      <c r="E20">
        <v>16.543560028076101</v>
      </c>
      <c r="F20">
        <v>14.849340438842701</v>
      </c>
      <c r="G20">
        <v>4.9829998016357404</v>
      </c>
      <c r="H20" t="s">
        <v>25</v>
      </c>
      <c r="I20">
        <v>105.26300000000001</v>
      </c>
      <c r="J20">
        <v>0</v>
      </c>
      <c r="K20">
        <v>1.00608646869659</v>
      </c>
      <c r="L20">
        <v>-10.431360394774</v>
      </c>
      <c r="M20">
        <v>1.03284752368927</v>
      </c>
      <c r="N20">
        <v>-15.1978608815407</v>
      </c>
      <c r="O20">
        <v>1.0131219625473</v>
      </c>
      <c r="P20">
        <v>1.0131219625473</v>
      </c>
      <c r="Q20">
        <v>45.8028144836425</v>
      </c>
      <c r="R20">
        <v>-3.4803438186645499</v>
      </c>
      <c r="S20">
        <v>28.968126296996999</v>
      </c>
      <c r="T20">
        <v>15.7066450119018</v>
      </c>
      <c r="U20">
        <v>14.713731765746999</v>
      </c>
      <c r="V20">
        <v>4.82032918930053</v>
      </c>
      <c r="W20">
        <v>0.97000002861022905</v>
      </c>
      <c r="X20">
        <v>-9.9424042234104792</v>
      </c>
      <c r="Y20">
        <v>1.01848876476287</v>
      </c>
      <c r="Z20">
        <v>-14.8104423032414</v>
      </c>
      <c r="AA20">
        <v>1.0043537616729701</v>
      </c>
      <c r="AB20">
        <v>-16.079136291974699</v>
      </c>
      <c r="AC20">
        <v>-63.651889801025298</v>
      </c>
      <c r="AD20">
        <v>0</v>
      </c>
      <c r="AE20">
        <v>0</v>
      </c>
      <c r="AF20" s="1">
        <f t="shared" si="0"/>
        <v>-1.8346672058105966</v>
      </c>
      <c r="AG20" s="1">
        <f t="shared" si="1"/>
        <v>-0.43157196044920099</v>
      </c>
      <c r="AH20" s="1">
        <f t="shared" si="2"/>
        <v>-0.13560867309570135</v>
      </c>
      <c r="AI20" s="2">
        <f t="shared" si="3"/>
        <v>-3.8513102303995017E-2</v>
      </c>
      <c r="AJ20" s="2">
        <f t="shared" si="4"/>
        <v>-1.4679469043186344E-2</v>
      </c>
      <c r="AK20" s="2">
        <f t="shared" si="5"/>
        <v>-9.1323027884105921E-3</v>
      </c>
    </row>
    <row r="21" spans="1:37" x14ac:dyDescent="0.45">
      <c r="A21">
        <v>20</v>
      </c>
      <c r="B21">
        <v>47.116458892822202</v>
      </c>
      <c r="C21">
        <v>-3.8442299365997301</v>
      </c>
      <c r="D21">
        <v>29.078149795532202</v>
      </c>
      <c r="E21">
        <v>16.3626194000244</v>
      </c>
      <c r="F21">
        <v>14.6869297027587</v>
      </c>
      <c r="G21">
        <v>4.9285001754760698</v>
      </c>
      <c r="H21" t="s">
        <v>25</v>
      </c>
      <c r="I21">
        <v>105.26300000000001</v>
      </c>
      <c r="J21">
        <v>0</v>
      </c>
      <c r="K21">
        <v>1.00654673576354</v>
      </c>
      <c r="L21">
        <v>-10.297247921733801</v>
      </c>
      <c r="M21">
        <v>1.0334169864654501</v>
      </c>
      <c r="N21">
        <v>-15.010211677783699</v>
      </c>
      <c r="O21">
        <v>1.01378238201141</v>
      </c>
      <c r="P21">
        <v>1.01378238201141</v>
      </c>
      <c r="Q21">
        <v>45.280994415283203</v>
      </c>
      <c r="R21">
        <v>-3.4376091957092201</v>
      </c>
      <c r="S21">
        <v>28.645824432373001</v>
      </c>
      <c r="T21">
        <v>15.525104522705</v>
      </c>
      <c r="U21">
        <v>14.551052093505801</v>
      </c>
      <c r="V21">
        <v>4.7657122611999503</v>
      </c>
      <c r="W21">
        <v>0.97000002861022905</v>
      </c>
      <c r="X21">
        <v>-9.7989164618811007</v>
      </c>
      <c r="Y21">
        <v>1.01886641979217</v>
      </c>
      <c r="Z21">
        <v>-14.613259862869301</v>
      </c>
      <c r="AA21">
        <v>1.0048941373825</v>
      </c>
      <c r="AB21">
        <v>-15.8681619920039</v>
      </c>
      <c r="AC21">
        <v>-65.078445434570298</v>
      </c>
      <c r="AD21">
        <v>0</v>
      </c>
      <c r="AE21">
        <v>0</v>
      </c>
      <c r="AF21" s="1">
        <f t="shared" si="0"/>
        <v>-1.8354644775389986</v>
      </c>
      <c r="AG21" s="1">
        <f t="shared" si="1"/>
        <v>-0.432325363159201</v>
      </c>
      <c r="AH21" s="1">
        <f t="shared" si="2"/>
        <v>-0.13587760925289949</v>
      </c>
      <c r="AI21" s="2">
        <f t="shared" si="3"/>
        <v>-3.8955908840989241E-2</v>
      </c>
      <c r="AJ21" s="2">
        <f t="shared" si="4"/>
        <v>-1.4867705345737881E-2</v>
      </c>
      <c r="AK21" s="2">
        <f t="shared" si="5"/>
        <v>-9.2516007091241886E-3</v>
      </c>
    </row>
    <row r="22" spans="1:37" x14ac:dyDescent="0.45">
      <c r="A22">
        <v>21</v>
      </c>
      <c r="B22">
        <v>45.983600616455</v>
      </c>
      <c r="C22">
        <v>-3.7518002986907901</v>
      </c>
      <c r="D22">
        <v>28.378999710083001</v>
      </c>
      <c r="E22">
        <v>15.969200134277299</v>
      </c>
      <c r="F22">
        <v>14.3338012695312</v>
      </c>
      <c r="G22">
        <v>4.8099999427795401</v>
      </c>
      <c r="H22" t="s">
        <v>25</v>
      </c>
      <c r="I22">
        <v>105.26300000000001</v>
      </c>
      <c r="J22">
        <v>0</v>
      </c>
      <c r="K22">
        <v>1.0075364112853999</v>
      </c>
      <c r="L22">
        <v>-10.0065849502655</v>
      </c>
      <c r="M22">
        <v>1.0346474647521899</v>
      </c>
      <c r="N22">
        <v>-14.6034807394421</v>
      </c>
      <c r="O22">
        <v>1.0152115821838299</v>
      </c>
      <c r="P22">
        <v>1.0152115821838299</v>
      </c>
      <c r="Q22">
        <v>44.148521423339801</v>
      </c>
      <c r="R22">
        <v>-3.34519219398498</v>
      </c>
      <c r="S22">
        <v>27.945577621459901</v>
      </c>
      <c r="T22">
        <v>15.131399154663001</v>
      </c>
      <c r="U22">
        <v>14.1975135803222</v>
      </c>
      <c r="V22">
        <v>4.6471586227416903</v>
      </c>
      <c r="W22">
        <v>0.97000002861022905</v>
      </c>
      <c r="X22">
        <v>-9.4880164935037499</v>
      </c>
      <c r="Y22">
        <v>1.0196832418441699</v>
      </c>
      <c r="Z22">
        <v>-14.185791616257699</v>
      </c>
      <c r="AA22">
        <v>1.00606453418731</v>
      </c>
      <c r="AB22">
        <v>-15.410778370347</v>
      </c>
      <c r="AC22">
        <v>-68.152633666992102</v>
      </c>
      <c r="AD22">
        <v>0</v>
      </c>
      <c r="AE22">
        <v>0</v>
      </c>
      <c r="AF22" s="1">
        <f t="shared" si="0"/>
        <v>-1.8350791931151988</v>
      </c>
      <c r="AG22" s="1">
        <f t="shared" si="1"/>
        <v>-0.43342208862310017</v>
      </c>
      <c r="AH22" s="1">
        <f t="shared" si="2"/>
        <v>-0.13628768920900036</v>
      </c>
      <c r="AI22" s="2">
        <f t="shared" si="3"/>
        <v>-3.9907253205798875E-2</v>
      </c>
      <c r="AJ22" s="2">
        <f t="shared" si="4"/>
        <v>-1.5272634449800787E-2</v>
      </c>
      <c r="AK22" s="2">
        <f t="shared" si="5"/>
        <v>-9.5081330239105352E-3</v>
      </c>
    </row>
    <row r="23" spans="1:37" x14ac:dyDescent="0.45">
      <c r="A23">
        <v>22</v>
      </c>
      <c r="B23">
        <v>43.684421539306598</v>
      </c>
      <c r="C23">
        <v>-3.5642099380493102</v>
      </c>
      <c r="D23">
        <v>26.9600505828857</v>
      </c>
      <c r="E23">
        <v>15.1707391738891</v>
      </c>
      <c r="F23">
        <v>13.6171102523803</v>
      </c>
      <c r="G23">
        <v>4.5694999694824201</v>
      </c>
      <c r="H23" t="s">
        <v>25</v>
      </c>
      <c r="I23">
        <v>105.26300000000001</v>
      </c>
      <c r="J23">
        <v>0</v>
      </c>
      <c r="K23">
        <v>1.00950932502746</v>
      </c>
      <c r="L23">
        <v>-9.4199929314342103</v>
      </c>
      <c r="M23">
        <v>1.03711581230163</v>
      </c>
      <c r="N23">
        <v>-13.782689215943501</v>
      </c>
      <c r="O23">
        <v>1.01808762550354</v>
      </c>
      <c r="P23">
        <v>1.01808762550354</v>
      </c>
      <c r="Q23">
        <v>41.858421325683501</v>
      </c>
      <c r="R23">
        <v>-3.1595759391784601</v>
      </c>
      <c r="S23">
        <v>26.526504516601499</v>
      </c>
      <c r="T23">
        <v>14.336376190185501</v>
      </c>
      <c r="U23">
        <v>13.4806575775146</v>
      </c>
      <c r="V23">
        <v>4.4073319435119602</v>
      </c>
      <c r="W23">
        <v>0.97000002861022905</v>
      </c>
      <c r="X23">
        <v>-8.8614729903301601</v>
      </c>
      <c r="Y23">
        <v>1.02132332324981</v>
      </c>
      <c r="Z23">
        <v>-13.3233615516775</v>
      </c>
      <c r="AA23">
        <v>1.0084213018417301</v>
      </c>
      <c r="AB23">
        <v>-14.4879549188387</v>
      </c>
      <c r="AC23">
        <v>-74.278053283691406</v>
      </c>
      <c r="AD23">
        <v>0</v>
      </c>
      <c r="AE23">
        <v>0</v>
      </c>
      <c r="AF23" s="1">
        <f t="shared" si="0"/>
        <v>-1.8260002136230966</v>
      </c>
      <c r="AG23" s="1">
        <f t="shared" si="1"/>
        <v>-0.433546066284201</v>
      </c>
      <c r="AH23" s="1">
        <f t="shared" si="2"/>
        <v>-0.13645267486569956</v>
      </c>
      <c r="AI23" s="2">
        <f t="shared" si="3"/>
        <v>-4.1799802979652335E-2</v>
      </c>
      <c r="AJ23" s="2">
        <f t="shared" si="4"/>
        <v>-1.6081055373071779E-2</v>
      </c>
      <c r="AK23" s="2">
        <f t="shared" si="5"/>
        <v>-1.0020677833745772E-2</v>
      </c>
    </row>
    <row r="24" spans="1:37" x14ac:dyDescent="0.45">
      <c r="A24">
        <v>23</v>
      </c>
      <c r="B24">
        <v>40.854660034179602</v>
      </c>
      <c r="C24">
        <v>-3.33332967758178</v>
      </c>
      <c r="D24">
        <v>25.213649749755799</v>
      </c>
      <c r="E24">
        <v>14.188019752502401</v>
      </c>
      <c r="F24">
        <v>12.7350301742553</v>
      </c>
      <c r="G24">
        <v>4.2734999656677202</v>
      </c>
      <c r="H24" t="s">
        <v>25</v>
      </c>
      <c r="I24">
        <v>105.26300000000001</v>
      </c>
      <c r="J24">
        <v>0</v>
      </c>
      <c r="K24">
        <v>1.01184046268463</v>
      </c>
      <c r="L24">
        <v>-8.7058078551807991</v>
      </c>
      <c r="M24">
        <v>1.0400872230529701</v>
      </c>
      <c r="N24">
        <v>-12.782728168614501</v>
      </c>
      <c r="O24">
        <v>1.02157354354858</v>
      </c>
      <c r="P24">
        <v>1.02157354354858</v>
      </c>
      <c r="Q24">
        <v>39.055843353271399</v>
      </c>
      <c r="R24">
        <v>-2.93483185768127</v>
      </c>
      <c r="S24">
        <v>24.784078598022401</v>
      </c>
      <c r="T24">
        <v>13.365602493286101</v>
      </c>
      <c r="U24">
        <v>12.5996799468994</v>
      </c>
      <c r="V24">
        <v>4.1136679649353001</v>
      </c>
      <c r="W24">
        <v>0.97000002861022905</v>
      </c>
      <c r="X24">
        <v>-8.0983205799534907</v>
      </c>
      <c r="Y24">
        <v>1.02330923080444</v>
      </c>
      <c r="Z24">
        <v>-12.2711709010952</v>
      </c>
      <c r="AA24">
        <v>1.0112875699996899</v>
      </c>
      <c r="AB24">
        <v>-13.3620101774245</v>
      </c>
      <c r="AC24">
        <v>-81.610397338867102</v>
      </c>
      <c r="AD24">
        <v>0</v>
      </c>
      <c r="AE24">
        <v>0</v>
      </c>
      <c r="AF24" s="1">
        <f t="shared" si="0"/>
        <v>-1.7988166809082031</v>
      </c>
      <c r="AG24" s="1">
        <f t="shared" si="1"/>
        <v>-0.42957115173339844</v>
      </c>
      <c r="AH24" s="1">
        <f t="shared" si="2"/>
        <v>-0.13535022735590019</v>
      </c>
      <c r="AI24" s="2">
        <f t="shared" si="3"/>
        <v>-4.4029657312122703E-2</v>
      </c>
      <c r="AJ24" s="2">
        <f t="shared" si="4"/>
        <v>-1.7037245936104867E-2</v>
      </c>
      <c r="AK24" s="2">
        <f t="shared" si="5"/>
        <v>-1.0628182697950694E-2</v>
      </c>
    </row>
    <row r="25" spans="1:37" x14ac:dyDescent="0.45">
      <c r="A25">
        <v>24</v>
      </c>
      <c r="B25">
        <v>38.4646606445312</v>
      </c>
      <c r="C25">
        <v>-3.1383297443389799</v>
      </c>
      <c r="D25">
        <v>23.738649368286101</v>
      </c>
      <c r="E25">
        <v>13.358018875121999</v>
      </c>
      <c r="F25">
        <v>11.9900302886962</v>
      </c>
      <c r="G25">
        <v>4.0234999656677202</v>
      </c>
      <c r="H25" t="s">
        <v>25</v>
      </c>
      <c r="I25">
        <v>105.26300000000001</v>
      </c>
      <c r="J25">
        <v>0</v>
      </c>
      <c r="K25">
        <v>1.01374471187591</v>
      </c>
      <c r="L25">
        <v>-8.1079776137483108</v>
      </c>
      <c r="M25">
        <v>1.04254829883575</v>
      </c>
      <c r="N25">
        <v>-11.945522846627201</v>
      </c>
      <c r="O25">
        <v>1.0244774818420399</v>
      </c>
      <c r="P25">
        <v>1.0244774818420399</v>
      </c>
      <c r="Q25">
        <v>36.701210021972599</v>
      </c>
      <c r="R25">
        <v>-2.74786353111267</v>
      </c>
      <c r="S25">
        <v>23.315637588500898</v>
      </c>
      <c r="T25">
        <v>12.5516090393066</v>
      </c>
      <c r="U25">
        <v>11.856620788574199</v>
      </c>
      <c r="V25">
        <v>3.8667826652526802</v>
      </c>
      <c r="W25">
        <v>0.97000002861022905</v>
      </c>
      <c r="X25">
        <v>-7.4602733305725399</v>
      </c>
      <c r="Y25">
        <v>1.0249596834182699</v>
      </c>
      <c r="Z25">
        <v>-11.3901345472842</v>
      </c>
      <c r="AA25">
        <v>1.0136796236038199</v>
      </c>
      <c r="AB25">
        <v>-12.4191998846876</v>
      </c>
      <c r="AC25">
        <v>-87.631904602050696</v>
      </c>
      <c r="AD25">
        <v>0</v>
      </c>
      <c r="AE25">
        <v>0</v>
      </c>
      <c r="AF25" s="1">
        <f t="shared" si="0"/>
        <v>-1.7634506225586009</v>
      </c>
      <c r="AG25" s="1">
        <f t="shared" si="1"/>
        <v>-0.42301177978520244</v>
      </c>
      <c r="AH25" s="1">
        <f t="shared" si="2"/>
        <v>-0.13340950012200103</v>
      </c>
      <c r="AI25" s="2">
        <f t="shared" si="3"/>
        <v>-4.5845994557326832E-2</v>
      </c>
      <c r="AJ25" s="2">
        <f t="shared" si="4"/>
        <v>-1.7819538644449143E-2</v>
      </c>
      <c r="AK25" s="2">
        <f t="shared" si="5"/>
        <v>-1.1126702511150039E-2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E1B1F-DCB5-49BF-BF31-EDF495CA94D5}">
  <dimension ref="A1:AO33"/>
  <sheetViews>
    <sheetView workbookViewId="0">
      <pane xSplit="1" ySplit="1" topLeftCell="Z2" activePane="bottomRight" state="frozen"/>
      <selection pane="topRight" activeCell="B1" sqref="B1"/>
      <selection pane="bottomLeft" activeCell="A2" sqref="A2"/>
      <selection pane="bottomRight" activeCell="AL1" sqref="AL1:AO1"/>
    </sheetView>
  </sheetViews>
  <sheetFormatPr defaultRowHeight="14.25" x14ac:dyDescent="0.45"/>
  <cols>
    <col min="38" max="38" width="9.9296875" bestFit="1" customWidth="1"/>
    <col min="39" max="40" width="11.796875" bestFit="1" customWidth="1"/>
    <col min="41" max="41" width="13.06640625" bestFit="1" customWidth="1"/>
  </cols>
  <sheetData>
    <row r="1" spans="1:4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49</v>
      </c>
      <c r="AM1" t="s">
        <v>46</v>
      </c>
      <c r="AN1" t="s">
        <v>47</v>
      </c>
      <c r="AO1" t="s">
        <v>48</v>
      </c>
    </row>
    <row r="2" spans="1:41" x14ac:dyDescent="0.45">
      <c r="A2">
        <v>1</v>
      </c>
      <c r="B2">
        <v>36.882480621337798</v>
      </c>
      <c r="C2">
        <v>-3.0092399120330802</v>
      </c>
      <c r="D2">
        <v>22.762199401855401</v>
      </c>
      <c r="E2">
        <v>12.8085594177246</v>
      </c>
      <c r="F2">
        <v>11.496839523315399</v>
      </c>
      <c r="G2">
        <v>3.85800004005432</v>
      </c>
      <c r="H2" t="s">
        <v>26</v>
      </c>
      <c r="I2">
        <v>105.26300000000001</v>
      </c>
      <c r="J2">
        <v>0</v>
      </c>
      <c r="K2">
        <v>1.0149734020233101</v>
      </c>
      <c r="L2">
        <v>-7.7147977708351601</v>
      </c>
      <c r="M2">
        <v>1.0441538095474201</v>
      </c>
      <c r="N2">
        <v>-11.3948354250204</v>
      </c>
      <c r="O2">
        <v>1.0263801813125599</v>
      </c>
      <c r="P2">
        <v>1.0263801813125599</v>
      </c>
      <c r="Q2">
        <v>35.148429870605398</v>
      </c>
      <c r="R2">
        <v>-2.6254513263702299</v>
      </c>
      <c r="S2">
        <v>22.345485687255799</v>
      </c>
      <c r="T2">
        <v>12.016339302062899</v>
      </c>
      <c r="U2">
        <v>11.365592002868601</v>
      </c>
      <c r="V2">
        <v>3.7043437957763601</v>
      </c>
      <c r="W2">
        <v>0.97000002861022905</v>
      </c>
      <c r="X2">
        <v>-7.0226178567272397</v>
      </c>
      <c r="Y2">
        <v>1.02605688571929</v>
      </c>
      <c r="Z2">
        <v>-10.783029762653699</v>
      </c>
      <c r="AA2">
        <v>1.01528191566467</v>
      </c>
      <c r="AB2">
        <v>-11.770887714670501</v>
      </c>
      <c r="AC2">
        <v>-91.666534423828097</v>
      </c>
      <c r="AD2">
        <v>0</v>
      </c>
      <c r="AE2">
        <v>0</v>
      </c>
      <c r="AF2" s="1">
        <f>Q2-B2</f>
        <v>-1.7340507507324006</v>
      </c>
      <c r="AG2" s="1">
        <f>S2-D2</f>
        <v>-0.41671371459960227</v>
      </c>
      <c r="AH2" s="1">
        <f>U2-F2</f>
        <v>-0.13124752044679866</v>
      </c>
      <c r="AI2" s="2">
        <f>AF2/B2</f>
        <v>-4.7015567324102163E-2</v>
      </c>
      <c r="AJ2" s="2">
        <f>AG2/D2</f>
        <v>-1.8307269312720059E-2</v>
      </c>
      <c r="AK2" s="2">
        <f>AH2/F2</f>
        <v>-1.1415965246851612E-2</v>
      </c>
      <c r="AL2" s="2"/>
    </row>
    <row r="3" spans="1:41" x14ac:dyDescent="0.45">
      <c r="A3">
        <v>2</v>
      </c>
      <c r="B3">
        <v>35.931259155273402</v>
      </c>
      <c r="C3">
        <v>-2.93162989616394</v>
      </c>
      <c r="D3">
        <v>22.1751499176025</v>
      </c>
      <c r="E3">
        <v>12.4782199859619</v>
      </c>
      <c r="F3">
        <v>11.200329780578601</v>
      </c>
      <c r="G3">
        <v>3.75850009918212</v>
      </c>
      <c r="H3" t="s">
        <v>26</v>
      </c>
      <c r="I3">
        <v>105.26300000000001</v>
      </c>
      <c r="J3">
        <v>0</v>
      </c>
      <c r="K3">
        <v>1.0156829357147199</v>
      </c>
      <c r="L3">
        <v>-7.4793466339918897</v>
      </c>
      <c r="M3">
        <v>1.0451024770736601</v>
      </c>
      <c r="N3">
        <v>-11.0650679126742</v>
      </c>
      <c r="O3">
        <v>1.0275118350982599</v>
      </c>
      <c r="P3">
        <v>1.0275118350982599</v>
      </c>
      <c r="Q3">
        <v>34.217693328857401</v>
      </c>
      <c r="R3">
        <v>-2.55248570442199</v>
      </c>
      <c r="S3">
        <v>21.762456893920898</v>
      </c>
      <c r="T3">
        <v>11.694921493530201</v>
      </c>
      <c r="U3">
        <v>11.0701580047607</v>
      </c>
      <c r="V3">
        <v>3.6064107418060298</v>
      </c>
      <c r="W3">
        <v>0.97000002861022905</v>
      </c>
      <c r="X3">
        <v>-6.78657334719479</v>
      </c>
      <c r="Y3">
        <v>1.02668964862823</v>
      </c>
      <c r="Z3">
        <v>-10.4559746892046</v>
      </c>
      <c r="AA3">
        <v>1.01620113849639</v>
      </c>
      <c r="AB3">
        <v>-11.419668285506299</v>
      </c>
      <c r="AC3">
        <v>-93.903259277343693</v>
      </c>
      <c r="AD3">
        <v>0</v>
      </c>
      <c r="AE3">
        <v>0</v>
      </c>
      <c r="AF3" s="1">
        <f t="shared" ref="AF3:AF25" si="0">Q3-B3</f>
        <v>-1.7135658264160014</v>
      </c>
      <c r="AG3" s="1">
        <f t="shared" ref="AG3:AG25" si="1">S3-D3</f>
        <v>-0.41269302368160155</v>
      </c>
      <c r="AH3" s="1">
        <f t="shared" ref="AH3:AH25" si="2">U3-F3</f>
        <v>-0.13017177581790129</v>
      </c>
      <c r="AI3" s="2">
        <f t="shared" ref="AI3:AI25" si="3">AF3/B3</f>
        <v>-4.7690113475038411E-2</v>
      </c>
      <c r="AJ3" s="2">
        <f t="shared" ref="AJ3:AJ25" si="4">AG3/D3</f>
        <v>-1.8610608055191019E-2</v>
      </c>
      <c r="AK3" s="2">
        <f t="shared" ref="AK3:AK25" si="5">AH3/F3</f>
        <v>-1.1622137773444802E-2</v>
      </c>
      <c r="AL3" s="2"/>
    </row>
    <row r="4" spans="1:41" x14ac:dyDescent="0.45">
      <c r="A4">
        <v>3</v>
      </c>
      <c r="B4">
        <v>35.405460357666001</v>
      </c>
      <c r="C4">
        <v>-2.8887300491332999</v>
      </c>
      <c r="D4">
        <v>21.850650787353501</v>
      </c>
      <c r="E4">
        <v>12.2956199645996</v>
      </c>
      <c r="F4">
        <v>11.036430358886699</v>
      </c>
      <c r="G4">
        <v>3.7035000324249201</v>
      </c>
      <c r="H4" t="s">
        <v>26</v>
      </c>
      <c r="I4">
        <v>105.26300000000001</v>
      </c>
      <c r="J4">
        <v>0</v>
      </c>
      <c r="K4">
        <v>1.0159664154052701</v>
      </c>
      <c r="L4">
        <v>-7.34929129335314</v>
      </c>
      <c r="M4">
        <v>1.0455784797668399</v>
      </c>
      <c r="N4">
        <v>-10.8831091103178</v>
      </c>
      <c r="O4">
        <v>1.0281058549880899</v>
      </c>
      <c r="P4">
        <v>1.0281058549880899</v>
      </c>
      <c r="Q4">
        <v>33.707435607910099</v>
      </c>
      <c r="R4">
        <v>-2.5130703449249201</v>
      </c>
      <c r="S4">
        <v>21.441408157348601</v>
      </c>
      <c r="T4">
        <v>11.5194911956787</v>
      </c>
      <c r="U4">
        <v>10.907315254211399</v>
      </c>
      <c r="V4">
        <v>3.55280089378356</v>
      </c>
      <c r="W4">
        <v>0.97000002861022905</v>
      </c>
      <c r="X4">
        <v>-6.6492003125718204</v>
      </c>
      <c r="Y4">
        <v>1.0270403623580899</v>
      </c>
      <c r="Z4">
        <v>-10.266030541867</v>
      </c>
      <c r="AA4">
        <v>1.0167140960693299</v>
      </c>
      <c r="AB4">
        <v>-11.2163156229403</v>
      </c>
      <c r="AC4">
        <v>-95.154983520507798</v>
      </c>
      <c r="AD4">
        <v>0</v>
      </c>
      <c r="AE4">
        <v>0</v>
      </c>
      <c r="AF4" s="1">
        <f t="shared" si="0"/>
        <v>-1.698024749755902</v>
      </c>
      <c r="AG4" s="1">
        <f t="shared" si="1"/>
        <v>-0.40924263000490058</v>
      </c>
      <c r="AH4" s="1">
        <f t="shared" si="2"/>
        <v>-0.12911510467530007</v>
      </c>
      <c r="AI4" s="2">
        <f t="shared" si="3"/>
        <v>-4.795940322770708E-2</v>
      </c>
      <c r="AJ4" s="2">
        <f t="shared" si="4"/>
        <v>-1.8729081984219798E-2</v>
      </c>
      <c r="AK4" s="2">
        <f t="shared" si="5"/>
        <v>-1.1698991474298088E-2</v>
      </c>
      <c r="AL4" s="2"/>
    </row>
    <row r="5" spans="1:41" x14ac:dyDescent="0.45">
      <c r="A5">
        <v>4</v>
      </c>
      <c r="B5">
        <v>35.362438201904297</v>
      </c>
      <c r="C5">
        <v>-2.88522005081176</v>
      </c>
      <c r="D5">
        <v>21.824100494384702</v>
      </c>
      <c r="E5">
        <v>12.2806797027587</v>
      </c>
      <c r="F5">
        <v>11.0230197906494</v>
      </c>
      <c r="G5">
        <v>3.6989998817443799</v>
      </c>
      <c r="H5" t="s">
        <v>26</v>
      </c>
      <c r="I5">
        <v>105.26300000000001</v>
      </c>
      <c r="J5">
        <v>0</v>
      </c>
      <c r="K5">
        <v>1.0159894227981501</v>
      </c>
      <c r="L5">
        <v>-7.3386566887250497</v>
      </c>
      <c r="M5">
        <v>1.0456173419952299</v>
      </c>
      <c r="N5">
        <v>-10.868230396858101</v>
      </c>
      <c r="O5">
        <v>1.02815449237823</v>
      </c>
      <c r="P5">
        <v>1.02815449237823</v>
      </c>
      <c r="Q5">
        <v>33.665702819824197</v>
      </c>
      <c r="R5">
        <v>-2.5098493099212602</v>
      </c>
      <c r="S5">
        <v>21.415143966674801</v>
      </c>
      <c r="T5">
        <v>11.5051460266113</v>
      </c>
      <c r="U5">
        <v>10.8939914703369</v>
      </c>
      <c r="V5">
        <v>3.5484166145324698</v>
      </c>
      <c r="W5">
        <v>0.96999996900558405</v>
      </c>
      <c r="X5">
        <v>-6.6379697739335803</v>
      </c>
      <c r="Y5">
        <v>1.0270689725875799</v>
      </c>
      <c r="Z5">
        <v>-10.250500399109701</v>
      </c>
      <c r="AA5">
        <v>1.01675605773925</v>
      </c>
      <c r="AB5">
        <v>-11.199687527264601</v>
      </c>
      <c r="AC5">
        <v>-95.257125854492102</v>
      </c>
      <c r="AD5">
        <v>0</v>
      </c>
      <c r="AE5">
        <v>0</v>
      </c>
      <c r="AF5" s="1">
        <f t="shared" si="0"/>
        <v>-1.6967353820800994</v>
      </c>
      <c r="AG5" s="1">
        <f t="shared" si="1"/>
        <v>-0.40895652770990054</v>
      </c>
      <c r="AH5" s="1">
        <f t="shared" si="2"/>
        <v>-0.1290283203125</v>
      </c>
      <c r="AI5" s="2">
        <f t="shared" si="3"/>
        <v>-4.7981289423327397E-2</v>
      </c>
      <c r="AJ5" s="2">
        <f t="shared" si="4"/>
        <v>-1.8738757540780398E-2</v>
      </c>
      <c r="AK5" s="2">
        <f t="shared" si="5"/>
        <v>-1.1705351415766492E-2</v>
      </c>
      <c r="AL5" s="2"/>
    </row>
    <row r="6" spans="1:41" x14ac:dyDescent="0.45">
      <c r="A6">
        <v>5</v>
      </c>
      <c r="B6">
        <v>36.151138305663999</v>
      </c>
      <c r="C6">
        <v>-2.9495699405670099</v>
      </c>
      <c r="D6">
        <v>22.310850143432599</v>
      </c>
      <c r="E6">
        <v>12.5545797348022</v>
      </c>
      <c r="F6">
        <v>11.2688703536987</v>
      </c>
      <c r="G6">
        <v>3.78150010108947</v>
      </c>
      <c r="H6" t="s">
        <v>26</v>
      </c>
      <c r="I6">
        <v>105.26300000000001</v>
      </c>
      <c r="J6">
        <v>0</v>
      </c>
      <c r="K6">
        <v>1.0155328512191699</v>
      </c>
      <c r="L6">
        <v>-7.5337294543993396</v>
      </c>
      <c r="M6">
        <v>1.04488956928253</v>
      </c>
      <c r="N6">
        <v>-11.1412134235095</v>
      </c>
      <c r="O6">
        <v>1.02725434303283</v>
      </c>
      <c r="P6">
        <v>1.02725434303283</v>
      </c>
      <c r="Q6">
        <v>34.432243347167898</v>
      </c>
      <c r="R6">
        <v>-2.5692217350006099</v>
      </c>
      <c r="S6">
        <v>21.897016525268501</v>
      </c>
      <c r="T6">
        <v>11.768835067749</v>
      </c>
      <c r="U6">
        <v>11.138357162475501</v>
      </c>
      <c r="V6">
        <v>3.62894082069396</v>
      </c>
      <c r="W6">
        <v>0.96999996900558405</v>
      </c>
      <c r="X6">
        <v>-6.8441859933334497</v>
      </c>
      <c r="Y6">
        <v>1.0265418291091899</v>
      </c>
      <c r="Z6">
        <v>-10.5356035965463</v>
      </c>
      <c r="AA6">
        <v>1.01598560810089</v>
      </c>
      <c r="AB6">
        <v>-11.5049107546198</v>
      </c>
      <c r="AC6">
        <v>-93.376182556152301</v>
      </c>
      <c r="AD6">
        <v>0</v>
      </c>
      <c r="AE6">
        <v>0</v>
      </c>
      <c r="AF6" s="1">
        <f t="shared" si="0"/>
        <v>-1.7188949584961009</v>
      </c>
      <c r="AG6" s="1">
        <f t="shared" si="1"/>
        <v>-0.41383361816409803</v>
      </c>
      <c r="AH6" s="1">
        <f t="shared" si="2"/>
        <v>-0.1305131912231996</v>
      </c>
      <c r="AI6" s="2">
        <f t="shared" si="3"/>
        <v>-4.7547464313918771E-2</v>
      </c>
      <c r="AJ6" s="2">
        <f t="shared" si="4"/>
        <v>-1.8548536496979417E-2</v>
      </c>
      <c r="AK6" s="2">
        <f t="shared" si="5"/>
        <v>-1.1581745740855222E-2</v>
      </c>
      <c r="AL6" s="2"/>
    </row>
    <row r="7" spans="1:41" x14ac:dyDescent="0.45">
      <c r="A7">
        <v>6</v>
      </c>
      <c r="B7">
        <v>38.173080444335902</v>
      </c>
      <c r="C7">
        <v>-3.11454010009765</v>
      </c>
      <c r="D7">
        <v>23.558700561523398</v>
      </c>
      <c r="E7">
        <v>13.2567596435546</v>
      </c>
      <c r="F7">
        <v>11.899140357971101</v>
      </c>
      <c r="G7">
        <v>3.9930000305175701</v>
      </c>
      <c r="H7" t="s">
        <v>26</v>
      </c>
      <c r="I7">
        <v>105.26300000000001</v>
      </c>
      <c r="J7">
        <v>0</v>
      </c>
      <c r="K7">
        <v>1.0139729976653999</v>
      </c>
      <c r="L7">
        <v>-8.0353658720648298</v>
      </c>
      <c r="M7">
        <v>1.04284560680389</v>
      </c>
      <c r="N7">
        <v>-11.843828159210601</v>
      </c>
      <c r="O7">
        <v>1.0248292684555</v>
      </c>
      <c r="P7">
        <v>1.0248292684555</v>
      </c>
      <c r="Q7">
        <v>36.414695739746001</v>
      </c>
      <c r="R7">
        <v>-2.72522521018981</v>
      </c>
      <c r="S7">
        <v>23.136680603027301</v>
      </c>
      <c r="T7">
        <v>12.452658653259199</v>
      </c>
      <c r="U7">
        <v>11.7660322189331</v>
      </c>
      <c r="V7">
        <v>3.8367350101470898</v>
      </c>
      <c r="W7">
        <v>0.97000008821487405</v>
      </c>
      <c r="X7">
        <v>-7.3828130083107899</v>
      </c>
      <c r="Y7">
        <v>1.0251594781875599</v>
      </c>
      <c r="Z7">
        <v>-11.2830756000027</v>
      </c>
      <c r="AA7">
        <v>1.0139698982238701</v>
      </c>
      <c r="AB7">
        <v>-12.3046277292552</v>
      </c>
      <c r="AC7">
        <v>-88.355941772460895</v>
      </c>
      <c r="AD7">
        <v>0</v>
      </c>
      <c r="AE7">
        <v>0</v>
      </c>
      <c r="AF7" s="1">
        <f t="shared" si="0"/>
        <v>-1.7583847045899006</v>
      </c>
      <c r="AG7" s="1">
        <f t="shared" si="1"/>
        <v>-0.4220199584960973</v>
      </c>
      <c r="AH7" s="1">
        <f t="shared" si="2"/>
        <v>-0.13310813903800067</v>
      </c>
      <c r="AI7" s="2">
        <f t="shared" si="3"/>
        <v>-4.6063474158287598E-2</v>
      </c>
      <c r="AJ7" s="2">
        <f t="shared" si="4"/>
        <v>-1.7913549917322257E-2</v>
      </c>
      <c r="AK7" s="2">
        <f t="shared" si="5"/>
        <v>-1.1186365992299017E-2</v>
      </c>
      <c r="AL7" s="2"/>
    </row>
    <row r="8" spans="1:41" x14ac:dyDescent="0.45">
      <c r="A8">
        <v>7</v>
      </c>
      <c r="B8">
        <v>41.232280731201101</v>
      </c>
      <c r="C8">
        <v>-3.3641402721404998</v>
      </c>
      <c r="D8">
        <v>25.446697235107401</v>
      </c>
      <c r="E8">
        <v>14.3191604614257</v>
      </c>
      <c r="F8">
        <v>12.8527402877807</v>
      </c>
      <c r="G8">
        <v>4.3130002021789497</v>
      </c>
      <c r="H8" t="s">
        <v>26</v>
      </c>
      <c r="I8">
        <v>105.052474</v>
      </c>
      <c r="J8">
        <v>0</v>
      </c>
      <c r="K8">
        <v>1.0115343332290601</v>
      </c>
      <c r="L8">
        <v>-8.80070735808909</v>
      </c>
      <c r="M8">
        <v>1.03969419002532</v>
      </c>
      <c r="N8">
        <v>-12.9156137689146</v>
      </c>
      <c r="O8">
        <v>1.0211113691329901</v>
      </c>
      <c r="P8">
        <v>1.0211113691329901</v>
      </c>
      <c r="Q8">
        <v>39.4288940429687</v>
      </c>
      <c r="R8">
        <v>-2.9646065235137899</v>
      </c>
      <c r="S8">
        <v>25.0163555145263</v>
      </c>
      <c r="T8">
        <v>13.4947032928466</v>
      </c>
      <c r="U8">
        <v>12.717164993286101</v>
      </c>
      <c r="V8">
        <v>4.15276622772216</v>
      </c>
      <c r="W8">
        <v>0.97000002861022905</v>
      </c>
      <c r="X8">
        <v>-8.1996720503613307</v>
      </c>
      <c r="Y8">
        <v>1.0230461359023999</v>
      </c>
      <c r="Z8">
        <v>-12.4110156104451</v>
      </c>
      <c r="AA8">
        <v>1.0109070539474401</v>
      </c>
      <c r="AB8">
        <v>-13.5116604771849</v>
      </c>
      <c r="AC8">
        <v>-80.644760131835895</v>
      </c>
      <c r="AD8">
        <v>0</v>
      </c>
      <c r="AE8">
        <v>0</v>
      </c>
      <c r="AF8" s="1">
        <f t="shared" si="0"/>
        <v>-1.8033866882324006</v>
      </c>
      <c r="AG8" s="1">
        <f t="shared" si="1"/>
        <v>-0.43034172058110087</v>
      </c>
      <c r="AH8" s="1">
        <f t="shared" si="2"/>
        <v>-0.13557529449459871</v>
      </c>
      <c r="AI8" s="2">
        <f t="shared" si="3"/>
        <v>-4.3737252857510504E-2</v>
      </c>
      <c r="AJ8" s="2">
        <f t="shared" si="4"/>
        <v>-1.6911496081596877E-2</v>
      </c>
      <c r="AK8" s="2">
        <f t="shared" si="5"/>
        <v>-1.0548357117547319E-2</v>
      </c>
      <c r="AL8" s="2"/>
    </row>
    <row r="9" spans="1:41" x14ac:dyDescent="0.45">
      <c r="A9">
        <v>8</v>
      </c>
      <c r="B9">
        <v>43.3020210266113</v>
      </c>
      <c r="C9">
        <v>-3.5330102443695002</v>
      </c>
      <c r="D9">
        <v>26.7240486145019</v>
      </c>
      <c r="E9">
        <v>15.037940025329499</v>
      </c>
      <c r="F9">
        <v>13.4979095458984</v>
      </c>
      <c r="G9">
        <v>4.5295000076293901</v>
      </c>
      <c r="H9" t="s">
        <v>26</v>
      </c>
      <c r="I9">
        <v>102.315636</v>
      </c>
      <c r="J9">
        <v>0</v>
      </c>
      <c r="K9">
        <v>1.0098292827606199</v>
      </c>
      <c r="L9">
        <v>-9.3230657160988404</v>
      </c>
      <c r="M9">
        <v>1.0375211238861</v>
      </c>
      <c r="N9">
        <v>-13.6469887239077</v>
      </c>
      <c r="O9">
        <v>1.0185617208480799</v>
      </c>
      <c r="P9">
        <v>1.0185617208480799</v>
      </c>
      <c r="Q9">
        <v>41.478733062744098</v>
      </c>
      <c r="R9">
        <v>-3.1289830207824698</v>
      </c>
      <c r="S9">
        <v>26.290794372558501</v>
      </c>
      <c r="T9">
        <v>14.204732894897401</v>
      </c>
      <c r="U9">
        <v>13.361528396606399</v>
      </c>
      <c r="V9">
        <v>4.3675584793090803</v>
      </c>
      <c r="W9">
        <v>0.97000002861022905</v>
      </c>
      <c r="X9">
        <v>-8.7578445055884107</v>
      </c>
      <c r="Y9">
        <v>1.0215938091278001</v>
      </c>
      <c r="Z9">
        <v>-13.1805935213381</v>
      </c>
      <c r="AA9">
        <v>1.00881075859069</v>
      </c>
      <c r="AB9">
        <v>-14.3351823688274</v>
      </c>
      <c r="AC9">
        <v>-75.281982421875</v>
      </c>
      <c r="AD9">
        <v>0</v>
      </c>
      <c r="AE9">
        <v>0</v>
      </c>
      <c r="AF9" s="1">
        <f t="shared" si="0"/>
        <v>-1.8232879638672017</v>
      </c>
      <c r="AG9" s="1">
        <f t="shared" si="1"/>
        <v>-0.43325424194339845</v>
      </c>
      <c r="AH9" s="1">
        <f t="shared" si="2"/>
        <v>-0.13638114929200107</v>
      </c>
      <c r="AI9" s="2">
        <f t="shared" si="3"/>
        <v>-4.210630175313753E-2</v>
      </c>
      <c r="AJ9" s="2">
        <f t="shared" si="4"/>
        <v>-1.6212148398363994E-2</v>
      </c>
      <c r="AK9" s="2">
        <f t="shared" si="5"/>
        <v>-1.0103871923889363E-2</v>
      </c>
      <c r="AL9" s="2"/>
    </row>
    <row r="10" spans="1:41" x14ac:dyDescent="0.45">
      <c r="A10">
        <v>9</v>
      </c>
      <c r="B10">
        <v>43.885181427001903</v>
      </c>
      <c r="C10">
        <v>-3.5805900096893302</v>
      </c>
      <c r="D10">
        <v>27.0839519500732</v>
      </c>
      <c r="E10">
        <v>15.240460395812899</v>
      </c>
      <c r="F10">
        <v>13.679690361022899</v>
      </c>
      <c r="G10">
        <v>4.5904998779296804</v>
      </c>
      <c r="H10" t="s">
        <v>26</v>
      </c>
      <c r="I10">
        <v>94.105121999999994</v>
      </c>
      <c r="J10">
        <v>0</v>
      </c>
      <c r="K10">
        <v>1.0093407630920399</v>
      </c>
      <c r="L10">
        <v>-9.4709324826970693</v>
      </c>
      <c r="M10">
        <v>1.0369025468826201</v>
      </c>
      <c r="N10">
        <v>-13.8540040754473</v>
      </c>
      <c r="O10">
        <v>1.01783812046051</v>
      </c>
      <c r="P10">
        <v>1.01783812046051</v>
      </c>
      <c r="Q10">
        <v>42.057876586913999</v>
      </c>
      <c r="R10">
        <v>-3.1756639480590798</v>
      </c>
      <c r="S10">
        <v>26.650285720825099</v>
      </c>
      <c r="T10">
        <v>14.4055471420288</v>
      </c>
      <c r="U10">
        <v>13.5432033538818</v>
      </c>
      <c r="V10">
        <v>4.4282169342040998</v>
      </c>
      <c r="W10">
        <v>0.96999996900558405</v>
      </c>
      <c r="X10">
        <v>-8.9159710701808308</v>
      </c>
      <c r="Y10">
        <v>1.0211809873580899</v>
      </c>
      <c r="Z10">
        <v>-13.398563642625801</v>
      </c>
      <c r="AA10">
        <v>1.0082159042358301</v>
      </c>
      <c r="AB10">
        <v>-14.5684674819117</v>
      </c>
      <c r="AC10">
        <v>-73.748985290527301</v>
      </c>
      <c r="AD10">
        <v>0</v>
      </c>
      <c r="AE10">
        <v>0</v>
      </c>
      <c r="AF10" s="1">
        <f t="shared" si="0"/>
        <v>-1.8273048400879048</v>
      </c>
      <c r="AG10" s="1">
        <f t="shared" si="1"/>
        <v>-0.43366622924810017</v>
      </c>
      <c r="AH10" s="1">
        <f t="shared" si="2"/>
        <v>-0.13648700714109907</v>
      </c>
      <c r="AI10" s="2">
        <f t="shared" si="3"/>
        <v>-4.1638311171788643E-2</v>
      </c>
      <c r="AJ10" s="2">
        <f t="shared" si="4"/>
        <v>-1.6011925809332566E-2</v>
      </c>
      <c r="AK10" s="2">
        <f t="shared" si="5"/>
        <v>-9.9773462365776271E-3</v>
      </c>
      <c r="AL10" s="2"/>
    </row>
    <row r="11" spans="1:41" x14ac:dyDescent="0.45">
      <c r="A11">
        <v>10</v>
      </c>
      <c r="B11">
        <v>44.119400024413999</v>
      </c>
      <c r="C11">
        <v>-3.5996999740600502</v>
      </c>
      <c r="D11">
        <v>27.228502273559499</v>
      </c>
      <c r="E11">
        <v>15.3218002319335</v>
      </c>
      <c r="F11">
        <v>13.752700805664</v>
      </c>
      <c r="G11">
        <v>4.6149997711181596</v>
      </c>
      <c r="H11" t="s">
        <v>26</v>
      </c>
      <c r="I11">
        <v>82.841981000000004</v>
      </c>
      <c r="J11">
        <v>0</v>
      </c>
      <c r="K11">
        <v>1.00914347171783</v>
      </c>
      <c r="L11">
        <v>-9.5304089167213402</v>
      </c>
      <c r="M11">
        <v>1.03665339946746</v>
      </c>
      <c r="N11">
        <v>-13.9372674972319</v>
      </c>
      <c r="O11">
        <v>1.0175470113754199</v>
      </c>
      <c r="P11">
        <v>1.0175470113754199</v>
      </c>
      <c r="Q11">
        <v>42.290679931640597</v>
      </c>
      <c r="R11">
        <v>-3.1944611072540199</v>
      </c>
      <c r="S11">
        <v>26.795143127441399</v>
      </c>
      <c r="T11">
        <v>14.4871044158935</v>
      </c>
      <c r="U11">
        <v>13.6165781021118</v>
      </c>
      <c r="V11">
        <v>4.4530582427978498</v>
      </c>
      <c r="W11">
        <v>0.97000002861022905</v>
      </c>
      <c r="X11">
        <v>-8.9644782203048408</v>
      </c>
      <c r="Y11">
        <v>1.02102994918823</v>
      </c>
      <c r="Z11">
        <v>-13.463677544084099</v>
      </c>
      <c r="AA11">
        <v>1.0080039501190099</v>
      </c>
      <c r="AB11">
        <v>-14.639291421564799</v>
      </c>
      <c r="AC11">
        <v>-73.249198913574205</v>
      </c>
      <c r="AD11">
        <v>0</v>
      </c>
      <c r="AE11">
        <v>0</v>
      </c>
      <c r="AF11" s="1">
        <f t="shared" si="0"/>
        <v>-1.828720092773402</v>
      </c>
      <c r="AG11" s="1">
        <f t="shared" si="1"/>
        <v>-0.43335914611810011</v>
      </c>
      <c r="AH11" s="1">
        <f t="shared" si="2"/>
        <v>-0.13612270355219991</v>
      </c>
      <c r="AI11" s="2">
        <f t="shared" si="3"/>
        <v>-4.1449341826077818E-2</v>
      </c>
      <c r="AJ11" s="2">
        <f t="shared" si="4"/>
        <v>-1.5915643900065619E-2</v>
      </c>
      <c r="AK11" s="2">
        <f t="shared" si="5"/>
        <v>-9.8978888202190998E-3</v>
      </c>
      <c r="AL11" s="2"/>
    </row>
    <row r="12" spans="1:41" x14ac:dyDescent="0.45">
      <c r="A12">
        <v>11</v>
      </c>
      <c r="B12">
        <v>44.267578125</v>
      </c>
      <c r="C12">
        <v>-3.61178994178771</v>
      </c>
      <c r="D12">
        <v>27.319950103759702</v>
      </c>
      <c r="E12">
        <v>15.3732595443725</v>
      </c>
      <c r="F12">
        <v>13.7988891601562</v>
      </c>
      <c r="G12">
        <v>4.6304998397827104</v>
      </c>
      <c r="H12" t="s">
        <v>26</v>
      </c>
      <c r="I12">
        <v>71.473577000000006</v>
      </c>
      <c r="J12">
        <v>0</v>
      </c>
      <c r="K12">
        <v>1.0090184211730899</v>
      </c>
      <c r="L12">
        <v>-9.5680620423883198</v>
      </c>
      <c r="M12">
        <v>1.0364956855773899</v>
      </c>
      <c r="N12">
        <v>-13.9899794825994</v>
      </c>
      <c r="O12">
        <v>1.01736259460449</v>
      </c>
      <c r="P12">
        <v>1.01736259460449</v>
      </c>
      <c r="Q12">
        <v>42.471595764160099</v>
      </c>
      <c r="R12">
        <v>-3.2143440246582</v>
      </c>
      <c r="S12">
        <v>26.894796371459901</v>
      </c>
      <c r="T12">
        <v>14.5540351867675</v>
      </c>
      <c r="U12">
        <v>13.665101051330501</v>
      </c>
      <c r="V12">
        <v>4.4712705612182599</v>
      </c>
      <c r="W12">
        <v>0.97078299522399902</v>
      </c>
      <c r="X12">
        <v>-9.0306243341103194</v>
      </c>
      <c r="Y12">
        <v>1.0212218761444001</v>
      </c>
      <c r="Z12">
        <v>-13.5504798576626</v>
      </c>
      <c r="AA12">
        <v>1.0080163478851301</v>
      </c>
      <c r="AB12">
        <v>-14.727855070190399</v>
      </c>
      <c r="AC12">
        <v>-71.473579406738196</v>
      </c>
      <c r="AD12">
        <v>0</v>
      </c>
      <c r="AE12">
        <v>0</v>
      </c>
      <c r="AF12" s="1">
        <f t="shared" si="0"/>
        <v>-1.7959823608399006</v>
      </c>
      <c r="AG12" s="1">
        <f t="shared" si="1"/>
        <v>-0.42515373229980113</v>
      </c>
      <c r="AH12" s="1">
        <f t="shared" si="2"/>
        <v>-0.13378810882569958</v>
      </c>
      <c r="AI12" s="2">
        <f t="shared" si="3"/>
        <v>-4.0571055316568676E-2</v>
      </c>
      <c r="AJ12" s="2">
        <f t="shared" si="4"/>
        <v>-1.5562024479733313E-2</v>
      </c>
      <c r="AK12" s="2">
        <f t="shared" si="5"/>
        <v>-9.695570945812651E-3</v>
      </c>
      <c r="AL12" s="2"/>
    </row>
    <row r="13" spans="1:41" x14ac:dyDescent="0.45">
      <c r="A13">
        <v>12</v>
      </c>
      <c r="B13">
        <v>44.415760040283203</v>
      </c>
      <c r="C13">
        <v>-3.62388014793396</v>
      </c>
      <c r="D13">
        <v>27.411401748657202</v>
      </c>
      <c r="E13">
        <v>15.424719810485801</v>
      </c>
      <c r="F13">
        <v>13.8450803756713</v>
      </c>
      <c r="G13">
        <v>4.6459999084472603</v>
      </c>
      <c r="H13" t="s">
        <v>26</v>
      </c>
      <c r="I13">
        <v>65.157797000000002</v>
      </c>
      <c r="J13">
        <v>0</v>
      </c>
      <c r="K13">
        <v>1.0088930130004801</v>
      </c>
      <c r="L13">
        <v>-9.6057365123966303</v>
      </c>
      <c r="M13">
        <v>1.03633749485015</v>
      </c>
      <c r="N13">
        <v>-14.042720496271199</v>
      </c>
      <c r="O13">
        <v>1.01717805862426</v>
      </c>
      <c r="P13">
        <v>1.01717805862426</v>
      </c>
      <c r="Q13">
        <v>42.776718139648402</v>
      </c>
      <c r="R13">
        <v>-3.2637879848480198</v>
      </c>
      <c r="S13">
        <v>27.027011871337798</v>
      </c>
      <c r="T13">
        <v>14.683365821838301</v>
      </c>
      <c r="U13">
        <v>13.7241249084472</v>
      </c>
      <c r="V13">
        <v>4.5019373893737704</v>
      </c>
      <c r="W13">
        <v>0.97444087266921997</v>
      </c>
      <c r="X13">
        <v>-9.1189139213931494</v>
      </c>
      <c r="Y13">
        <v>1.0225772857666</v>
      </c>
      <c r="Z13">
        <v>-13.644463261440601</v>
      </c>
      <c r="AA13">
        <v>1.0087583065032899</v>
      </c>
      <c r="AB13">
        <v>-14.8140349827754</v>
      </c>
      <c r="AC13">
        <v>-65.157798767089801</v>
      </c>
      <c r="AD13">
        <v>0</v>
      </c>
      <c r="AE13">
        <v>0</v>
      </c>
      <c r="AF13" s="1">
        <f t="shared" si="0"/>
        <v>-1.6390419006348012</v>
      </c>
      <c r="AG13" s="1">
        <f t="shared" si="1"/>
        <v>-0.38438987731940344</v>
      </c>
      <c r="AH13" s="1">
        <f t="shared" si="2"/>
        <v>-0.12095546722409978</v>
      </c>
      <c r="AI13" s="2">
        <f t="shared" si="3"/>
        <v>-3.690225944908429E-2</v>
      </c>
      <c r="AJ13" s="2">
        <f t="shared" si="4"/>
        <v>-1.4022992360769492E-2</v>
      </c>
      <c r="AK13" s="2">
        <f t="shared" si="5"/>
        <v>-8.7363499482923778E-3</v>
      </c>
      <c r="AL13" s="2"/>
    </row>
    <row r="14" spans="1:41" x14ac:dyDescent="0.45">
      <c r="A14">
        <v>13</v>
      </c>
      <c r="B14">
        <v>44.559158325195298</v>
      </c>
      <c r="C14">
        <v>-3.63558006286621</v>
      </c>
      <c r="D14">
        <v>27.499902725219702</v>
      </c>
      <c r="E14">
        <v>15.474518775939901</v>
      </c>
      <c r="F14">
        <v>13.889780998229901</v>
      </c>
      <c r="G14">
        <v>4.6609997749328604</v>
      </c>
      <c r="H14" t="s">
        <v>26</v>
      </c>
      <c r="I14">
        <v>67.052531000000002</v>
      </c>
      <c r="J14">
        <v>0</v>
      </c>
      <c r="K14">
        <v>1.00877153873443</v>
      </c>
      <c r="L14">
        <v>-9.6422139917427305</v>
      </c>
      <c r="M14">
        <v>1.0361844301223699</v>
      </c>
      <c r="N14">
        <v>-14.0937864060348</v>
      </c>
      <c r="O14">
        <v>1.0169992446899401</v>
      </c>
      <c r="P14">
        <v>1.0169992446899401</v>
      </c>
      <c r="Q14">
        <v>42.859352111816399</v>
      </c>
      <c r="R14">
        <v>-3.2610454559326101</v>
      </c>
      <c r="S14">
        <v>27.099952697753899</v>
      </c>
      <c r="T14">
        <v>14.7031335830688</v>
      </c>
      <c r="U14">
        <v>13.7639389038085</v>
      </c>
      <c r="V14">
        <v>4.5110898017883301</v>
      </c>
      <c r="W14">
        <v>0.97303819656372004</v>
      </c>
      <c r="X14">
        <v>-9.1394693758749899</v>
      </c>
      <c r="Y14">
        <v>1.0219149589538501</v>
      </c>
      <c r="Z14">
        <v>-13.6833099626752</v>
      </c>
      <c r="AA14">
        <v>1.0082688331603999</v>
      </c>
      <c r="AB14">
        <v>-14.8611205997663</v>
      </c>
      <c r="AC14">
        <v>-67.052528381347599</v>
      </c>
      <c r="AD14">
        <v>0</v>
      </c>
      <c r="AE14">
        <v>0</v>
      </c>
      <c r="AF14" s="1">
        <f t="shared" si="0"/>
        <v>-1.6998062133788991</v>
      </c>
      <c r="AG14" s="1">
        <f t="shared" si="1"/>
        <v>-0.39995002746580255</v>
      </c>
      <c r="AH14" s="1">
        <f t="shared" si="2"/>
        <v>-0.12584209442140093</v>
      </c>
      <c r="AI14" s="2">
        <f t="shared" si="3"/>
        <v>-3.8147179553384196E-2</v>
      </c>
      <c r="AJ14" s="2">
        <f t="shared" si="4"/>
        <v>-1.4543688807270401E-2</v>
      </c>
      <c r="AK14" s="2">
        <f t="shared" si="5"/>
        <v>-9.060048854437527E-3</v>
      </c>
      <c r="AL14" s="2"/>
    </row>
    <row r="15" spans="1:41" x14ac:dyDescent="0.45">
      <c r="A15">
        <v>14</v>
      </c>
      <c r="B15">
        <v>44.6356391906738</v>
      </c>
      <c r="C15">
        <v>-3.6418199539184499</v>
      </c>
      <c r="D15">
        <v>27.547100067138601</v>
      </c>
      <c r="E15">
        <v>15.5010786056518</v>
      </c>
      <c r="F15">
        <v>13.9136199951171</v>
      </c>
      <c r="G15">
        <v>4.6690001487731898</v>
      </c>
      <c r="H15" t="s">
        <v>26</v>
      </c>
      <c r="I15">
        <v>70.105158000000003</v>
      </c>
      <c r="J15">
        <v>0</v>
      </c>
      <c r="K15">
        <v>1.00870656967163</v>
      </c>
      <c r="L15">
        <v>-9.66167661594808</v>
      </c>
      <c r="M15">
        <v>1.0361027717590301</v>
      </c>
      <c r="N15">
        <v>-14.1210303233182</v>
      </c>
      <c r="O15">
        <v>1.0169038772582999</v>
      </c>
      <c r="P15">
        <v>1.0169038772582999</v>
      </c>
      <c r="Q15">
        <v>42.848560333251903</v>
      </c>
      <c r="R15">
        <v>-3.2465293407440101</v>
      </c>
      <c r="S15">
        <v>27.124647140502901</v>
      </c>
      <c r="T15">
        <v>14.686449050903301</v>
      </c>
      <c r="U15">
        <v>13.7806997299194</v>
      </c>
      <c r="V15">
        <v>4.5106630325317303</v>
      </c>
      <c r="W15">
        <v>0.97102522850036599</v>
      </c>
      <c r="X15">
        <v>-9.1339215546744992</v>
      </c>
      <c r="Y15">
        <v>1.02105665206909</v>
      </c>
      <c r="Z15">
        <v>-13.6908598830932</v>
      </c>
      <c r="AA15">
        <v>1.0076987743377599</v>
      </c>
      <c r="AB15">
        <v>-14.8771151953911</v>
      </c>
      <c r="AC15">
        <v>-70.105155944824205</v>
      </c>
      <c r="AD15">
        <v>0</v>
      </c>
      <c r="AE15">
        <v>0</v>
      </c>
      <c r="AF15" s="1">
        <f t="shared" si="0"/>
        <v>-1.7870788574218963</v>
      </c>
      <c r="AG15" s="1">
        <f t="shared" si="1"/>
        <v>-0.42245292663569955</v>
      </c>
      <c r="AH15" s="1">
        <f t="shared" si="2"/>
        <v>-0.13292026519770062</v>
      </c>
      <c r="AI15" s="2">
        <f t="shared" si="3"/>
        <v>-4.003703968006108E-2</v>
      </c>
      <c r="AJ15" s="2">
        <f t="shared" si="4"/>
        <v>-1.5335658766479408E-2</v>
      </c>
      <c r="AK15" s="2">
        <f t="shared" si="5"/>
        <v>-9.5532482017151657E-3</v>
      </c>
      <c r="AL15" s="2"/>
    </row>
    <row r="16" spans="1:41" x14ac:dyDescent="0.45">
      <c r="A16">
        <v>15</v>
      </c>
      <c r="B16">
        <v>44.951118469238203</v>
      </c>
      <c r="C16">
        <v>-3.6675601005554199</v>
      </c>
      <c r="D16">
        <v>27.741802215576101</v>
      </c>
      <c r="E16">
        <v>15.6106395721435</v>
      </c>
      <c r="F16">
        <v>14.011960029601999</v>
      </c>
      <c r="G16">
        <v>4.7020001411437899</v>
      </c>
      <c r="H16" t="s">
        <v>26</v>
      </c>
      <c r="I16">
        <v>78.841987000000003</v>
      </c>
      <c r="J16">
        <v>0</v>
      </c>
      <c r="K16">
        <v>1.0084382295608501</v>
      </c>
      <c r="L16">
        <v>-9.7420175705167598</v>
      </c>
      <c r="M16">
        <v>1.0357651710510201</v>
      </c>
      <c r="N16">
        <v>-14.233497926694699</v>
      </c>
      <c r="O16">
        <v>1.0165100097656199</v>
      </c>
      <c r="P16">
        <v>1.0165100097656199</v>
      </c>
      <c r="Q16">
        <v>43.118328094482401</v>
      </c>
      <c r="R16">
        <v>-3.2614252567291202</v>
      </c>
      <c r="S16">
        <v>27.308214187621999</v>
      </c>
      <c r="T16">
        <v>14.774185180664</v>
      </c>
      <c r="U16">
        <v>13.875768661499</v>
      </c>
      <c r="V16">
        <v>4.5396671295165998</v>
      </c>
      <c r="W16">
        <v>0.97000002861022905</v>
      </c>
      <c r="X16">
        <v>-9.1935730122977493</v>
      </c>
      <c r="Y16">
        <v>1.02043545246124</v>
      </c>
      <c r="Z16">
        <v>-13.7793902345463</v>
      </c>
      <c r="AA16">
        <v>1.0071480274200399</v>
      </c>
      <c r="AB16">
        <v>-14.976902552465701</v>
      </c>
      <c r="AC16">
        <v>-71.020599365234304</v>
      </c>
      <c r="AD16">
        <v>0</v>
      </c>
      <c r="AE16">
        <v>0</v>
      </c>
      <c r="AF16" s="1">
        <f t="shared" si="0"/>
        <v>-1.8327903747558025</v>
      </c>
      <c r="AG16" s="1">
        <f t="shared" si="1"/>
        <v>-0.43358802795410156</v>
      </c>
      <c r="AH16" s="1">
        <f t="shared" si="2"/>
        <v>-0.13619136810299892</v>
      </c>
      <c r="AI16" s="2">
        <f t="shared" si="3"/>
        <v>-4.0772964882065221E-2</v>
      </c>
      <c r="AJ16" s="2">
        <f t="shared" si="4"/>
        <v>-1.5629410972826281E-2</v>
      </c>
      <c r="AK16" s="2">
        <f t="shared" si="5"/>
        <v>-9.7196514845373384E-3</v>
      </c>
      <c r="AL16" s="2"/>
    </row>
    <row r="17" spans="1:38" x14ac:dyDescent="0.45">
      <c r="A17">
        <v>16</v>
      </c>
      <c r="B17">
        <v>45.859321594238203</v>
      </c>
      <c r="C17">
        <v>-3.7416598796844398</v>
      </c>
      <c r="D17">
        <v>28.302299499511701</v>
      </c>
      <c r="E17">
        <v>15.926038742065399</v>
      </c>
      <c r="F17">
        <v>14.2950592041015</v>
      </c>
      <c r="G17">
        <v>4.7969999313354403</v>
      </c>
      <c r="H17" t="s">
        <v>26</v>
      </c>
      <c r="I17">
        <v>89.157760999999994</v>
      </c>
      <c r="J17">
        <v>0</v>
      </c>
      <c r="K17">
        <v>1.0076440572738601</v>
      </c>
      <c r="L17">
        <v>-9.9747759052568608</v>
      </c>
      <c r="M17">
        <v>1.0347818136215201</v>
      </c>
      <c r="N17">
        <v>-14.5589683962428</v>
      </c>
      <c r="O17">
        <v>1.0153677463531401</v>
      </c>
      <c r="P17">
        <v>1.0153677463531401</v>
      </c>
      <c r="Q17">
        <v>44.024463653564403</v>
      </c>
      <c r="R17">
        <v>-3.3350956439971902</v>
      </c>
      <c r="S17">
        <v>27.868791580200099</v>
      </c>
      <c r="T17">
        <v>15.088280677795399</v>
      </c>
      <c r="U17">
        <v>14.1587314605712</v>
      </c>
      <c r="V17">
        <v>4.6341581344604403</v>
      </c>
      <c r="W17">
        <v>0.97000008821487405</v>
      </c>
      <c r="X17">
        <v>-9.4540021511480195</v>
      </c>
      <c r="Y17">
        <v>1.0197722911834699</v>
      </c>
      <c r="Z17">
        <v>-14.139166183265999</v>
      </c>
      <c r="AA17">
        <v>1.00619184970855</v>
      </c>
      <c r="AB17">
        <v>-15.3609401870971</v>
      </c>
      <c r="AC17">
        <v>-68.487350463867102</v>
      </c>
      <c r="AD17">
        <v>0</v>
      </c>
      <c r="AE17">
        <v>0</v>
      </c>
      <c r="AF17" s="1">
        <f t="shared" si="0"/>
        <v>-1.8348579406737997</v>
      </c>
      <c r="AG17" s="1">
        <f t="shared" si="1"/>
        <v>-0.4335079193116016</v>
      </c>
      <c r="AH17" s="1">
        <f t="shared" si="2"/>
        <v>-0.13632774353030008</v>
      </c>
      <c r="AI17" s="2">
        <f t="shared" si="3"/>
        <v>-4.001057749847596E-2</v>
      </c>
      <c r="AJ17" s="2">
        <f t="shared" si="4"/>
        <v>-1.531705645751791E-2</v>
      </c>
      <c r="AK17" s="2">
        <f t="shared" si="5"/>
        <v>-9.5367036668994893E-3</v>
      </c>
      <c r="AL17" s="2"/>
    </row>
    <row r="18" spans="1:38" x14ac:dyDescent="0.45">
      <c r="A18">
        <v>17</v>
      </c>
      <c r="B18">
        <v>47.2407417297363</v>
      </c>
      <c r="C18">
        <v>-3.8543701171875</v>
      </c>
      <c r="D18">
        <v>29.154850006103501</v>
      </c>
      <c r="E18">
        <v>16.4057807922363</v>
      </c>
      <c r="F18">
        <v>14.725669860839799</v>
      </c>
      <c r="G18">
        <v>4.9415001869201598</v>
      </c>
      <c r="H18" t="s">
        <v>26</v>
      </c>
      <c r="I18">
        <v>98.420905000000005</v>
      </c>
      <c r="J18">
        <v>0</v>
      </c>
      <c r="K18">
        <v>1.00643718242645</v>
      </c>
      <c r="L18">
        <v>-10.3292132073211</v>
      </c>
      <c r="M18">
        <v>1.03328132629394</v>
      </c>
      <c r="N18">
        <v>-15.0549374643963</v>
      </c>
      <c r="O18">
        <v>1.0136250257492001</v>
      </c>
      <c r="P18">
        <v>1.0136250257492001</v>
      </c>
      <c r="Q18">
        <v>45.4054145812988</v>
      </c>
      <c r="R18">
        <v>-3.4477896690368599</v>
      </c>
      <c r="S18">
        <v>28.722690582275298</v>
      </c>
      <c r="T18">
        <v>15.568386077880801</v>
      </c>
      <c r="U18">
        <v>14.5898523330688</v>
      </c>
      <c r="V18">
        <v>4.7787351608276296</v>
      </c>
      <c r="W18">
        <v>0.97000002861022905</v>
      </c>
      <c r="X18">
        <v>-9.8331143655723299</v>
      </c>
      <c r="Y18">
        <v>1.01877653598785</v>
      </c>
      <c r="Z18">
        <v>-14.660261810042201</v>
      </c>
      <c r="AA18">
        <v>1.00476539134979</v>
      </c>
      <c r="AB18">
        <v>-15.9184526752901</v>
      </c>
      <c r="AC18">
        <v>-64.7388916015625</v>
      </c>
      <c r="AD18">
        <v>0</v>
      </c>
      <c r="AE18">
        <v>0</v>
      </c>
      <c r="AF18" s="1">
        <f t="shared" si="0"/>
        <v>-1.8353271484375</v>
      </c>
      <c r="AG18" s="1">
        <f t="shared" si="1"/>
        <v>-0.43215942382820316</v>
      </c>
      <c r="AH18" s="1">
        <f t="shared" si="2"/>
        <v>-0.13581752777099965</v>
      </c>
      <c r="AI18" s="2">
        <f t="shared" si="3"/>
        <v>-3.8850515068907764E-2</v>
      </c>
      <c r="AJ18" s="2">
        <f t="shared" si="4"/>
        <v>-1.4822899920175599E-2</v>
      </c>
      <c r="AK18" s="2">
        <f t="shared" si="5"/>
        <v>-9.2231816314299764E-3</v>
      </c>
      <c r="AL18" s="2"/>
    </row>
    <row r="19" spans="1:38" x14ac:dyDescent="0.45">
      <c r="A19">
        <v>18</v>
      </c>
      <c r="B19">
        <v>47.799999237060497</v>
      </c>
      <c r="C19">
        <v>-3.9000000953674299</v>
      </c>
      <c r="D19">
        <v>29.4999980926513</v>
      </c>
      <c r="E19">
        <v>16.600000381469702</v>
      </c>
      <c r="F19">
        <v>14.8999986648559</v>
      </c>
      <c r="G19">
        <v>5</v>
      </c>
      <c r="H19" t="s">
        <v>26</v>
      </c>
      <c r="I19">
        <v>103.78931799999999</v>
      </c>
      <c r="J19">
        <v>0</v>
      </c>
      <c r="K19">
        <v>1.00594234466552</v>
      </c>
      <c r="L19">
        <v>-10.4732499453097</v>
      </c>
      <c r="M19">
        <v>1.03266930580139</v>
      </c>
      <c r="N19">
        <v>-15.256469027759399</v>
      </c>
      <c r="O19">
        <v>1.0129156112670801</v>
      </c>
      <c r="P19">
        <v>1.0129156112670801</v>
      </c>
      <c r="Q19">
        <v>45.965702056884702</v>
      </c>
      <c r="R19">
        <v>-3.4937028884887602</v>
      </c>
      <c r="S19">
        <v>29.068696975708001</v>
      </c>
      <c r="T19">
        <v>15.7633361816406</v>
      </c>
      <c r="U19">
        <v>14.7644834518432</v>
      </c>
      <c r="V19">
        <v>4.8373794555664</v>
      </c>
      <c r="W19">
        <v>0.97000002861022905</v>
      </c>
      <c r="X19">
        <v>-9.9872281939932694</v>
      </c>
      <c r="Y19">
        <v>1.01837062835693</v>
      </c>
      <c r="Z19">
        <v>-14.8720232893216</v>
      </c>
      <c r="AA19">
        <v>1.00418496131896</v>
      </c>
      <c r="AB19">
        <v>-16.1450254199105</v>
      </c>
      <c r="AC19">
        <v>-63.205249786376903</v>
      </c>
      <c r="AD19">
        <v>0</v>
      </c>
      <c r="AE19">
        <v>0</v>
      </c>
      <c r="AF19" s="1">
        <f t="shared" si="0"/>
        <v>-1.8342971801757955</v>
      </c>
      <c r="AG19" s="1">
        <f t="shared" si="1"/>
        <v>-0.43130111694329898</v>
      </c>
      <c r="AH19" s="1">
        <f t="shared" si="2"/>
        <v>-0.13551521301270064</v>
      </c>
      <c r="AI19" s="2">
        <f t="shared" si="3"/>
        <v>-3.8374418607806597E-2</v>
      </c>
      <c r="AJ19" s="2">
        <f t="shared" si="4"/>
        <v>-1.4620377790829069E-2</v>
      </c>
      <c r="AK19" s="2">
        <f t="shared" si="5"/>
        <v>-9.0949815540813158E-3</v>
      </c>
      <c r="AL19" s="2"/>
    </row>
    <row r="20" spans="1:38" x14ac:dyDescent="0.45">
      <c r="A20">
        <v>19</v>
      </c>
      <c r="B20">
        <v>47.637481689453097</v>
      </c>
      <c r="C20">
        <v>-3.88673996925354</v>
      </c>
      <c r="D20">
        <v>29.3996982574462</v>
      </c>
      <c r="E20">
        <v>16.543560028076101</v>
      </c>
      <c r="F20">
        <v>14.849340438842701</v>
      </c>
      <c r="G20">
        <v>4.9829998016357404</v>
      </c>
      <c r="H20" t="s">
        <v>26</v>
      </c>
      <c r="I20">
        <v>105.157737</v>
      </c>
      <c r="J20">
        <v>0</v>
      </c>
      <c r="K20">
        <v>1.00608646869659</v>
      </c>
      <c r="L20">
        <v>-10.431360394774</v>
      </c>
      <c r="M20">
        <v>1.03284752368927</v>
      </c>
      <c r="N20">
        <v>-15.1978608815407</v>
      </c>
      <c r="O20">
        <v>1.0131219625473</v>
      </c>
      <c r="P20">
        <v>1.0131219625473</v>
      </c>
      <c r="Q20">
        <v>45.8028144836425</v>
      </c>
      <c r="R20">
        <v>-3.4803438186645499</v>
      </c>
      <c r="S20">
        <v>28.968126296996999</v>
      </c>
      <c r="T20">
        <v>15.7066450119018</v>
      </c>
      <c r="U20">
        <v>14.713731765746999</v>
      </c>
      <c r="V20">
        <v>4.82032918930053</v>
      </c>
      <c r="W20">
        <v>0.97000002861022905</v>
      </c>
      <c r="X20">
        <v>-9.9424042234104792</v>
      </c>
      <c r="Y20">
        <v>1.01848876476287</v>
      </c>
      <c r="Z20">
        <v>-14.8104423032414</v>
      </c>
      <c r="AA20">
        <v>1.0043537616729701</v>
      </c>
      <c r="AB20">
        <v>-16.079136291974699</v>
      </c>
      <c r="AC20">
        <v>-63.651889801025298</v>
      </c>
      <c r="AD20">
        <v>0</v>
      </c>
      <c r="AE20">
        <v>0</v>
      </c>
      <c r="AF20" s="1">
        <f t="shared" si="0"/>
        <v>-1.8346672058105966</v>
      </c>
      <c r="AG20" s="1">
        <f t="shared" si="1"/>
        <v>-0.43157196044920099</v>
      </c>
      <c r="AH20" s="1">
        <f t="shared" si="2"/>
        <v>-0.13560867309570135</v>
      </c>
      <c r="AI20" s="2">
        <f t="shared" si="3"/>
        <v>-3.8513102303995017E-2</v>
      </c>
      <c r="AJ20" s="2">
        <f t="shared" si="4"/>
        <v>-1.4679469043186344E-2</v>
      </c>
      <c r="AK20" s="2">
        <f t="shared" si="5"/>
        <v>-9.1323027884105921E-3</v>
      </c>
      <c r="AL20" s="2"/>
    </row>
    <row r="21" spans="1:38" x14ac:dyDescent="0.45">
      <c r="A21">
        <v>20</v>
      </c>
      <c r="B21">
        <v>47.116458892822202</v>
      </c>
      <c r="C21">
        <v>-3.8442299365997301</v>
      </c>
      <c r="D21">
        <v>29.078149795532202</v>
      </c>
      <c r="E21">
        <v>16.3626194000244</v>
      </c>
      <c r="F21">
        <v>14.6869297027587</v>
      </c>
      <c r="G21">
        <v>4.9285001754760698</v>
      </c>
      <c r="H21" t="s">
        <v>26</v>
      </c>
      <c r="I21">
        <v>105.26300000000001</v>
      </c>
      <c r="J21">
        <v>0</v>
      </c>
      <c r="K21">
        <v>1.00654673576354</v>
      </c>
      <c r="L21">
        <v>-10.297247921733801</v>
      </c>
      <c r="M21">
        <v>1.0334169864654501</v>
      </c>
      <c r="N21">
        <v>-15.010211677783699</v>
      </c>
      <c r="O21">
        <v>1.01378238201141</v>
      </c>
      <c r="P21">
        <v>1.01378238201141</v>
      </c>
      <c r="Q21">
        <v>45.280994415283203</v>
      </c>
      <c r="R21">
        <v>-3.4376091957092201</v>
      </c>
      <c r="S21">
        <v>28.645824432373001</v>
      </c>
      <c r="T21">
        <v>15.525104522705</v>
      </c>
      <c r="U21">
        <v>14.551052093505801</v>
      </c>
      <c r="V21">
        <v>4.7657122611999503</v>
      </c>
      <c r="W21">
        <v>0.97000002861022905</v>
      </c>
      <c r="X21">
        <v>-9.7989164618811007</v>
      </c>
      <c r="Y21">
        <v>1.01886641979217</v>
      </c>
      <c r="Z21">
        <v>-14.613259862869301</v>
      </c>
      <c r="AA21">
        <v>1.0048941373825</v>
      </c>
      <c r="AB21">
        <v>-15.8681619920039</v>
      </c>
      <c r="AC21">
        <v>-65.078445434570298</v>
      </c>
      <c r="AD21">
        <v>0</v>
      </c>
      <c r="AE21">
        <v>0</v>
      </c>
      <c r="AF21" s="1">
        <f t="shared" si="0"/>
        <v>-1.8354644775389986</v>
      </c>
      <c r="AG21" s="1">
        <f t="shared" si="1"/>
        <v>-0.432325363159201</v>
      </c>
      <c r="AH21" s="1">
        <f t="shared" si="2"/>
        <v>-0.13587760925289949</v>
      </c>
      <c r="AI21" s="2">
        <f t="shared" si="3"/>
        <v>-3.8955908840989241E-2</v>
      </c>
      <c r="AJ21" s="2">
        <f t="shared" si="4"/>
        <v>-1.4867705345737881E-2</v>
      </c>
      <c r="AK21" s="2">
        <f t="shared" si="5"/>
        <v>-9.2516007091241886E-3</v>
      </c>
      <c r="AL21" s="2"/>
    </row>
    <row r="22" spans="1:38" x14ac:dyDescent="0.45">
      <c r="A22">
        <v>21</v>
      </c>
      <c r="B22">
        <v>45.983600616455</v>
      </c>
      <c r="C22">
        <v>-3.7518002986907901</v>
      </c>
      <c r="D22">
        <v>28.378999710083001</v>
      </c>
      <c r="E22">
        <v>15.969200134277299</v>
      </c>
      <c r="F22">
        <v>14.3338012695312</v>
      </c>
      <c r="G22">
        <v>4.8099999427795401</v>
      </c>
      <c r="H22" t="s">
        <v>26</v>
      </c>
      <c r="I22">
        <v>105.26300000000001</v>
      </c>
      <c r="J22">
        <v>0</v>
      </c>
      <c r="K22">
        <v>1.0075364112853999</v>
      </c>
      <c r="L22">
        <v>-10.0065849502655</v>
      </c>
      <c r="M22">
        <v>1.0346474647521899</v>
      </c>
      <c r="N22">
        <v>-14.6034807394421</v>
      </c>
      <c r="O22">
        <v>1.0152115821838299</v>
      </c>
      <c r="P22">
        <v>1.0152115821838299</v>
      </c>
      <c r="Q22">
        <v>44.148521423339801</v>
      </c>
      <c r="R22">
        <v>-3.34519219398498</v>
      </c>
      <c r="S22">
        <v>27.945577621459901</v>
      </c>
      <c r="T22">
        <v>15.131399154663001</v>
      </c>
      <c r="U22">
        <v>14.1975135803222</v>
      </c>
      <c r="V22">
        <v>4.6471586227416903</v>
      </c>
      <c r="W22">
        <v>0.97000002861022905</v>
      </c>
      <c r="X22">
        <v>-9.4880164935037499</v>
      </c>
      <c r="Y22">
        <v>1.0196832418441699</v>
      </c>
      <c r="Z22">
        <v>-14.185791616257699</v>
      </c>
      <c r="AA22">
        <v>1.00606453418731</v>
      </c>
      <c r="AB22">
        <v>-15.410778370347</v>
      </c>
      <c r="AC22">
        <v>-68.152633666992102</v>
      </c>
      <c r="AD22">
        <v>0</v>
      </c>
      <c r="AE22">
        <v>0</v>
      </c>
      <c r="AF22" s="1">
        <f t="shared" si="0"/>
        <v>-1.8350791931151988</v>
      </c>
      <c r="AG22" s="1">
        <f t="shared" si="1"/>
        <v>-0.43342208862310017</v>
      </c>
      <c r="AH22" s="1">
        <f t="shared" si="2"/>
        <v>-0.13628768920900036</v>
      </c>
      <c r="AI22" s="2">
        <f t="shared" si="3"/>
        <v>-3.9907253205798875E-2</v>
      </c>
      <c r="AJ22" s="2">
        <f t="shared" si="4"/>
        <v>-1.5272634449800787E-2</v>
      </c>
      <c r="AK22" s="2">
        <f t="shared" si="5"/>
        <v>-9.5081330239105352E-3</v>
      </c>
      <c r="AL22" s="2"/>
    </row>
    <row r="23" spans="1:38" x14ac:dyDescent="0.45">
      <c r="A23">
        <v>22</v>
      </c>
      <c r="B23">
        <v>43.684421539306598</v>
      </c>
      <c r="C23">
        <v>-3.5642099380493102</v>
      </c>
      <c r="D23">
        <v>26.9600505828857</v>
      </c>
      <c r="E23">
        <v>15.1707391738891</v>
      </c>
      <c r="F23">
        <v>13.6171102523803</v>
      </c>
      <c r="G23">
        <v>4.5694999694824201</v>
      </c>
      <c r="H23" t="s">
        <v>26</v>
      </c>
      <c r="I23">
        <v>105.26300000000001</v>
      </c>
      <c r="J23">
        <v>0</v>
      </c>
      <c r="K23">
        <v>1.00950932502746</v>
      </c>
      <c r="L23">
        <v>-9.4199929314342103</v>
      </c>
      <c r="M23">
        <v>1.03711581230163</v>
      </c>
      <c r="N23">
        <v>-13.782689215943501</v>
      </c>
      <c r="O23">
        <v>1.01808762550354</v>
      </c>
      <c r="P23">
        <v>1.01808762550354</v>
      </c>
      <c r="Q23">
        <v>41.858421325683501</v>
      </c>
      <c r="R23">
        <v>-3.1595759391784601</v>
      </c>
      <c r="S23">
        <v>26.526504516601499</v>
      </c>
      <c r="T23">
        <v>14.336376190185501</v>
      </c>
      <c r="U23">
        <v>13.4806575775146</v>
      </c>
      <c r="V23">
        <v>4.4073319435119602</v>
      </c>
      <c r="W23">
        <v>0.97000002861022905</v>
      </c>
      <c r="X23">
        <v>-8.8614729903301601</v>
      </c>
      <c r="Y23">
        <v>1.02132332324981</v>
      </c>
      <c r="Z23">
        <v>-13.3233615516775</v>
      </c>
      <c r="AA23">
        <v>1.0084213018417301</v>
      </c>
      <c r="AB23">
        <v>-14.4879549188387</v>
      </c>
      <c r="AC23">
        <v>-74.278053283691406</v>
      </c>
      <c r="AD23">
        <v>0</v>
      </c>
      <c r="AE23">
        <v>0</v>
      </c>
      <c r="AF23" s="1">
        <f t="shared" si="0"/>
        <v>-1.8260002136230966</v>
      </c>
      <c r="AG23" s="1">
        <f t="shared" si="1"/>
        <v>-0.433546066284201</v>
      </c>
      <c r="AH23" s="1">
        <f t="shared" si="2"/>
        <v>-0.13645267486569956</v>
      </c>
      <c r="AI23" s="2">
        <f t="shared" si="3"/>
        <v>-4.1799802979652335E-2</v>
      </c>
      <c r="AJ23" s="2">
        <f t="shared" si="4"/>
        <v>-1.6081055373071779E-2</v>
      </c>
      <c r="AK23" s="2">
        <f t="shared" si="5"/>
        <v>-1.0020677833745772E-2</v>
      </c>
      <c r="AL23" s="2"/>
    </row>
    <row r="24" spans="1:38" x14ac:dyDescent="0.45">
      <c r="A24">
        <v>23</v>
      </c>
      <c r="B24">
        <v>40.854660034179602</v>
      </c>
      <c r="C24">
        <v>-3.33332967758178</v>
      </c>
      <c r="D24">
        <v>25.213649749755799</v>
      </c>
      <c r="E24">
        <v>14.188019752502401</v>
      </c>
      <c r="F24">
        <v>12.7350301742553</v>
      </c>
      <c r="G24">
        <v>4.2734999656677202</v>
      </c>
      <c r="H24" t="s">
        <v>26</v>
      </c>
      <c r="I24">
        <v>105.26300000000001</v>
      </c>
      <c r="J24">
        <v>0</v>
      </c>
      <c r="K24">
        <v>1.01184046268463</v>
      </c>
      <c r="L24">
        <v>-8.7058078551807991</v>
      </c>
      <c r="M24">
        <v>1.0400872230529701</v>
      </c>
      <c r="N24">
        <v>-12.782728168614501</v>
      </c>
      <c r="O24">
        <v>1.02157354354858</v>
      </c>
      <c r="P24">
        <v>1.02157354354858</v>
      </c>
      <c r="Q24">
        <v>39.055843353271399</v>
      </c>
      <c r="R24">
        <v>-2.93483185768127</v>
      </c>
      <c r="S24">
        <v>24.784078598022401</v>
      </c>
      <c r="T24">
        <v>13.365602493286101</v>
      </c>
      <c r="U24">
        <v>12.5996799468994</v>
      </c>
      <c r="V24">
        <v>4.1136679649353001</v>
      </c>
      <c r="W24">
        <v>0.97000002861022905</v>
      </c>
      <c r="X24">
        <v>-8.0983205799534907</v>
      </c>
      <c r="Y24">
        <v>1.02330923080444</v>
      </c>
      <c r="Z24">
        <v>-12.2711709010952</v>
      </c>
      <c r="AA24">
        <v>1.0112875699996899</v>
      </c>
      <c r="AB24">
        <v>-13.3620101774245</v>
      </c>
      <c r="AC24">
        <v>-81.610397338867102</v>
      </c>
      <c r="AD24">
        <v>0</v>
      </c>
      <c r="AE24">
        <v>0</v>
      </c>
      <c r="AF24" s="1">
        <f t="shared" si="0"/>
        <v>-1.7988166809082031</v>
      </c>
      <c r="AG24" s="1">
        <f t="shared" si="1"/>
        <v>-0.42957115173339844</v>
      </c>
      <c r="AH24" s="1">
        <f t="shared" si="2"/>
        <v>-0.13535022735590019</v>
      </c>
      <c r="AI24" s="2">
        <f t="shared" si="3"/>
        <v>-4.4029657312122703E-2</v>
      </c>
      <c r="AJ24" s="2">
        <f t="shared" si="4"/>
        <v>-1.7037245936104867E-2</v>
      </c>
      <c r="AK24" s="2">
        <f t="shared" si="5"/>
        <v>-1.0628182697950694E-2</v>
      </c>
      <c r="AL24" s="2"/>
    </row>
    <row r="25" spans="1:38" x14ac:dyDescent="0.45">
      <c r="A25">
        <v>24</v>
      </c>
      <c r="B25">
        <v>38.4646606445312</v>
      </c>
      <c r="C25">
        <v>-3.1383297443389799</v>
      </c>
      <c r="D25">
        <v>23.738649368286101</v>
      </c>
      <c r="E25">
        <v>13.358018875121999</v>
      </c>
      <c r="F25">
        <v>11.9900302886962</v>
      </c>
      <c r="G25">
        <v>4.0234999656677202</v>
      </c>
      <c r="H25" t="s">
        <v>26</v>
      </c>
      <c r="I25">
        <v>105.26300000000001</v>
      </c>
      <c r="J25">
        <v>0</v>
      </c>
      <c r="K25">
        <v>1.01374471187591</v>
      </c>
      <c r="L25">
        <v>-8.1079776137483108</v>
      </c>
      <c r="M25">
        <v>1.04254829883575</v>
      </c>
      <c r="N25">
        <v>-11.945522846627201</v>
      </c>
      <c r="O25">
        <v>1.0244774818420399</v>
      </c>
      <c r="P25">
        <v>1.0244774818420399</v>
      </c>
      <c r="Q25">
        <v>36.701210021972599</v>
      </c>
      <c r="R25">
        <v>-2.74786353111267</v>
      </c>
      <c r="S25">
        <v>23.315637588500898</v>
      </c>
      <c r="T25">
        <v>12.5516090393066</v>
      </c>
      <c r="U25">
        <v>11.856620788574199</v>
      </c>
      <c r="V25">
        <v>3.8667826652526802</v>
      </c>
      <c r="W25">
        <v>0.97000002861022905</v>
      </c>
      <c r="X25">
        <v>-7.4602733305725399</v>
      </c>
      <c r="Y25">
        <v>1.0249596834182699</v>
      </c>
      <c r="Z25">
        <v>-11.3901345472842</v>
      </c>
      <c r="AA25">
        <v>1.0136796236038199</v>
      </c>
      <c r="AB25">
        <v>-12.4191998846876</v>
      </c>
      <c r="AC25">
        <v>-87.631904602050696</v>
      </c>
      <c r="AD25">
        <v>0</v>
      </c>
      <c r="AE25">
        <v>0</v>
      </c>
      <c r="AF25" s="1">
        <f t="shared" si="0"/>
        <v>-1.7634506225586009</v>
      </c>
      <c r="AG25" s="1">
        <f t="shared" si="1"/>
        <v>-0.42301177978520244</v>
      </c>
      <c r="AH25" s="1">
        <f t="shared" si="2"/>
        <v>-0.13340950012200103</v>
      </c>
      <c r="AI25" s="2">
        <f t="shared" si="3"/>
        <v>-4.5845994557326832E-2</v>
      </c>
      <c r="AJ25" s="2">
        <f t="shared" si="4"/>
        <v>-1.7819538644449143E-2</v>
      </c>
      <c r="AK25" s="2">
        <f t="shared" si="5"/>
        <v>-1.1126702511150039E-2</v>
      </c>
      <c r="AL25" s="2"/>
    </row>
    <row r="33" spans="32:32" x14ac:dyDescent="0.45">
      <c r="AF33" s="52" t="s">
        <v>45</v>
      </c>
    </row>
  </sheetData>
  <hyperlinks>
    <hyperlink ref="AF33" r:id="rId1" location="current" display="https://www.oeb.ca/consumer-information-and-protection/electricity-rates - current" xr:uid="{2D3A3977-669F-4766-8837-01F00FCCB34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C142A-E339-42AE-B65B-049C640854BF}">
  <dimension ref="A1:AP37"/>
  <sheetViews>
    <sheetView workbookViewId="0">
      <pane xSplit="1" ySplit="1" topLeftCell="AF2" activePane="bottomRight" state="frozen"/>
      <selection pane="topRight" activeCell="B1" sqref="B1"/>
      <selection pane="bottomLeft" activeCell="A2" sqref="A2"/>
      <selection pane="bottomRight" activeCell="AL1" sqref="AL1:AL25"/>
    </sheetView>
  </sheetViews>
  <sheetFormatPr defaultRowHeight="14.25" x14ac:dyDescent="0.45"/>
  <cols>
    <col min="38" max="38" width="20.796875" bestFit="1" customWidth="1"/>
    <col min="39" max="39" width="17.59765625" bestFit="1" customWidth="1"/>
    <col min="40" max="40" width="18.59765625" bestFit="1" customWidth="1"/>
    <col min="41" max="41" width="17.59765625" bestFit="1" customWidth="1"/>
    <col min="42" max="42" width="13.796875" bestFit="1" customWidth="1"/>
  </cols>
  <sheetData>
    <row r="1" spans="1:4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s="55" t="s">
        <v>52</v>
      </c>
      <c r="AM1" s="55" t="s">
        <v>55</v>
      </c>
      <c r="AN1" s="55" t="s">
        <v>56</v>
      </c>
      <c r="AO1" s="55" t="s">
        <v>58</v>
      </c>
    </row>
    <row r="2" spans="1:41" x14ac:dyDescent="0.45">
      <c r="A2">
        <v>1</v>
      </c>
      <c r="B2">
        <v>36.882480621337798</v>
      </c>
      <c r="C2">
        <v>-3.0092399120330802</v>
      </c>
      <c r="D2">
        <v>22.762199401855401</v>
      </c>
      <c r="E2">
        <v>12.8085594177246</v>
      </c>
      <c r="F2">
        <v>11.496839523315399</v>
      </c>
      <c r="G2">
        <v>3.85800004005432</v>
      </c>
      <c r="H2" t="s">
        <v>26</v>
      </c>
      <c r="I2">
        <v>10.526</v>
      </c>
      <c r="J2">
        <v>10.526</v>
      </c>
      <c r="K2">
        <v>1.0149734020233101</v>
      </c>
      <c r="L2">
        <v>-7.7147977708351601</v>
      </c>
      <c r="M2">
        <v>1.0441538095474201</v>
      </c>
      <c r="N2">
        <v>-11.3948354250204</v>
      </c>
      <c r="O2">
        <v>1.0263801813125599</v>
      </c>
      <c r="P2">
        <v>1.0263801813125599</v>
      </c>
      <c r="Q2">
        <v>36.492710113525298</v>
      </c>
      <c r="R2">
        <v>-2.9433205127715998</v>
      </c>
      <c r="S2">
        <v>22.313652038574201</v>
      </c>
      <c r="T2">
        <v>11.956332206726</v>
      </c>
      <c r="U2">
        <v>11.1494369506835</v>
      </c>
      <c r="V2">
        <v>3.45454502105712</v>
      </c>
      <c r="W2">
        <v>1.00739169120788</v>
      </c>
      <c r="X2">
        <v>-7.5410881295189203</v>
      </c>
      <c r="Y2">
        <v>1.0246731042861901</v>
      </c>
      <c r="Z2">
        <v>-11.122241719154999</v>
      </c>
      <c r="AA2">
        <v>0.99697583913803101</v>
      </c>
      <c r="AB2">
        <v>-11.6241795189201</v>
      </c>
      <c r="AC2">
        <v>-10.5260000228881</v>
      </c>
      <c r="AD2">
        <v>-10.5260000228881</v>
      </c>
      <c r="AE2">
        <v>-10.5260000228881</v>
      </c>
      <c r="AF2" s="1">
        <f>Q2-B2</f>
        <v>-0.3897705078125</v>
      </c>
      <c r="AG2" s="1">
        <f>S2-D2</f>
        <v>-0.44854736328120026</v>
      </c>
      <c r="AH2" s="1">
        <f>U2-F2</f>
        <v>-0.34740257263189989</v>
      </c>
      <c r="AI2" s="2">
        <f>AF2/B2</f>
        <v>-1.056790381900192E-2</v>
      </c>
      <c r="AJ2" s="2">
        <f>AG2/D2</f>
        <v>-1.9705800628591195E-2</v>
      </c>
      <c r="AK2" s="2">
        <f>AH2/F2</f>
        <v>-3.021722377940244E-2</v>
      </c>
      <c r="AL2" s="53">
        <v>9.8000000000000007</v>
      </c>
      <c r="AM2" s="53">
        <f>$AL2/100*1000*AG2</f>
        <v>-43.957641601557626</v>
      </c>
      <c r="AN2" s="53">
        <f>$AL2/100*1000*AH2</f>
        <v>-34.045452117926189</v>
      </c>
      <c r="AO2" s="53">
        <f>$AL2/100*1000*AF2</f>
        <v>-38.197509765625</v>
      </c>
    </row>
    <row r="3" spans="1:41" x14ac:dyDescent="0.45">
      <c r="A3">
        <v>2</v>
      </c>
      <c r="B3">
        <v>35.931259155273402</v>
      </c>
      <c r="C3">
        <v>-2.93162989616394</v>
      </c>
      <c r="D3">
        <v>22.1751499176025</v>
      </c>
      <c r="E3">
        <v>12.4782199859619</v>
      </c>
      <c r="F3">
        <v>11.200329780578601</v>
      </c>
      <c r="G3">
        <v>3.75850009918212</v>
      </c>
      <c r="H3" t="s">
        <v>26</v>
      </c>
      <c r="I3">
        <v>10.526</v>
      </c>
      <c r="J3">
        <v>10.526</v>
      </c>
      <c r="K3">
        <v>1.0156830549240099</v>
      </c>
      <c r="L3">
        <v>-7.4793389500290104</v>
      </c>
      <c r="M3">
        <v>1.0451028347015301</v>
      </c>
      <c r="N3">
        <v>-11.0650499834275</v>
      </c>
      <c r="O3">
        <v>1.0275126695632899</v>
      </c>
      <c r="P3">
        <v>1.0275126695632899</v>
      </c>
      <c r="Q3">
        <v>35.552066802978501</v>
      </c>
      <c r="R3">
        <v>-2.8676259517669598</v>
      </c>
      <c r="S3">
        <v>21.7384033203125</v>
      </c>
      <c r="T3">
        <v>11.6496534347534</v>
      </c>
      <c r="U3">
        <v>10.8622236251831</v>
      </c>
      <c r="V3">
        <v>3.36659336090087</v>
      </c>
      <c r="W3">
        <v>1.0081164836883501</v>
      </c>
      <c r="X3">
        <v>-7.3047174784508302</v>
      </c>
      <c r="Y3">
        <v>1.0256158113479601</v>
      </c>
      <c r="Z3">
        <v>-10.790303060407901</v>
      </c>
      <c r="AA3">
        <v>0.99810683727264404</v>
      </c>
      <c r="AB3">
        <v>-11.2654964004769</v>
      </c>
      <c r="AC3">
        <v>-10.5260000228881</v>
      </c>
      <c r="AD3">
        <v>-10.5260000228881</v>
      </c>
      <c r="AE3">
        <v>-10.5260000228881</v>
      </c>
      <c r="AF3" s="1">
        <f t="shared" ref="AF3:AF25" si="0">Q3-B3</f>
        <v>-0.37919235229490056</v>
      </c>
      <c r="AG3" s="1">
        <f t="shared" ref="AG3:AG25" si="1">S3-D3</f>
        <v>-0.43674659728999998</v>
      </c>
      <c r="AH3" s="1">
        <f t="shared" ref="AH3:AH25" si="2">U3-F3</f>
        <v>-0.33810615539550071</v>
      </c>
      <c r="AI3" s="2">
        <f t="shared" ref="AI3:AI25" si="3">AF3/B3</f>
        <v>-1.0553272031360162E-2</v>
      </c>
      <c r="AJ3" s="2">
        <f t="shared" ref="AJ3:AJ25" si="4">AG3/D3</f>
        <v>-1.9695316555371434E-2</v>
      </c>
      <c r="AK3" s="2">
        <f t="shared" ref="AK3:AK25" si="5">AH3/F3</f>
        <v>-3.0187160737157721E-2</v>
      </c>
      <c r="AL3" s="53">
        <v>9.8000000000000007</v>
      </c>
      <c r="AM3" s="53">
        <f t="shared" ref="AM3:AM25" si="6">AL3/100*1000*AG3</f>
        <v>-42.801166534419998</v>
      </c>
      <c r="AN3" s="53">
        <f t="shared" ref="AN3:AN25" si="7">$AL3/100*1000*AH3</f>
        <v>-33.134403228759069</v>
      </c>
      <c r="AO3" s="53">
        <f t="shared" ref="AO3:AO25" si="8">$AL3/100*1000*AF3</f>
        <v>-37.160850524900255</v>
      </c>
    </row>
    <row r="4" spans="1:41" x14ac:dyDescent="0.45">
      <c r="A4">
        <v>3</v>
      </c>
      <c r="B4">
        <v>35.405460357666001</v>
      </c>
      <c r="C4">
        <v>-2.8887300491332999</v>
      </c>
      <c r="D4">
        <v>21.850650787353501</v>
      </c>
      <c r="E4">
        <v>12.2956199645996</v>
      </c>
      <c r="F4">
        <v>11.036430358886699</v>
      </c>
      <c r="G4">
        <v>3.7035000324249201</v>
      </c>
      <c r="H4" t="s">
        <v>26</v>
      </c>
      <c r="I4">
        <v>10.526</v>
      </c>
      <c r="J4">
        <v>10.526</v>
      </c>
      <c r="K4">
        <v>1.0159665346145601</v>
      </c>
      <c r="L4">
        <v>-7.3492844631639098</v>
      </c>
      <c r="M4">
        <v>1.0455787181854199</v>
      </c>
      <c r="N4">
        <v>-10.8830945961657</v>
      </c>
      <c r="O4">
        <v>1.0281068086624101</v>
      </c>
      <c r="P4">
        <v>1.0281068086624101</v>
      </c>
      <c r="Q4">
        <v>35.035591125488203</v>
      </c>
      <c r="R4">
        <v>-2.8265960216522199</v>
      </c>
      <c r="S4">
        <v>21.421289443969702</v>
      </c>
      <c r="T4">
        <v>11.4816570281982</v>
      </c>
      <c r="U4">
        <v>10.7037086486816</v>
      </c>
      <c r="V4">
        <v>3.3182165622711102</v>
      </c>
      <c r="W4">
        <v>1.0085083246230999</v>
      </c>
      <c r="X4">
        <v>-7.1755850671315198</v>
      </c>
      <c r="Y4">
        <v>1.02612829208374</v>
      </c>
      <c r="Z4">
        <v>-10.6091630269852</v>
      </c>
      <c r="AA4">
        <v>0.99872344732284501</v>
      </c>
      <c r="AB4">
        <v>-11.069738054558901</v>
      </c>
      <c r="AC4">
        <v>-10.5260000228881</v>
      </c>
      <c r="AD4">
        <v>-10.5260000228881</v>
      </c>
      <c r="AE4">
        <v>-10.5260000228881</v>
      </c>
      <c r="AF4" s="1">
        <f t="shared" si="0"/>
        <v>-0.36986923217779832</v>
      </c>
      <c r="AG4" s="1">
        <f t="shared" si="1"/>
        <v>-0.42936134338379972</v>
      </c>
      <c r="AH4" s="1">
        <f t="shared" si="2"/>
        <v>-0.33272171020509944</v>
      </c>
      <c r="AI4" s="2">
        <f t="shared" si="3"/>
        <v>-1.0446672022941628E-2</v>
      </c>
      <c r="AJ4" s="2">
        <f t="shared" si="4"/>
        <v>-1.9649819475047448E-2</v>
      </c>
      <c r="AK4" s="2">
        <f t="shared" si="5"/>
        <v>-3.014758390036747E-2</v>
      </c>
      <c r="AL4" s="53">
        <v>9.8000000000000007</v>
      </c>
      <c r="AM4" s="53">
        <f t="shared" si="6"/>
        <v>-42.077411651612373</v>
      </c>
      <c r="AN4" s="53">
        <f t="shared" si="7"/>
        <v>-32.606727600099745</v>
      </c>
      <c r="AO4" s="53">
        <f t="shared" si="8"/>
        <v>-36.247184753424236</v>
      </c>
    </row>
    <row r="5" spans="1:41" x14ac:dyDescent="0.45">
      <c r="A5">
        <v>4</v>
      </c>
      <c r="B5">
        <v>35.362438201904297</v>
      </c>
      <c r="C5">
        <v>-2.88522005081176</v>
      </c>
      <c r="D5">
        <v>21.824100494384702</v>
      </c>
      <c r="E5">
        <v>12.2806797027587</v>
      </c>
      <c r="F5">
        <v>11.0230197906494</v>
      </c>
      <c r="G5">
        <v>3.6989998817443799</v>
      </c>
      <c r="H5" t="s">
        <v>26</v>
      </c>
      <c r="I5">
        <v>10.526</v>
      </c>
      <c r="J5">
        <v>10.526</v>
      </c>
      <c r="K5">
        <v>1.0159895420074401</v>
      </c>
      <c r="L5">
        <v>-7.3386507123094802</v>
      </c>
      <c r="M5">
        <v>1.0456175804138099</v>
      </c>
      <c r="N5">
        <v>-10.868216736479599</v>
      </c>
      <c r="O5">
        <v>1.0281552076339699</v>
      </c>
      <c r="P5">
        <v>1.0281552076339699</v>
      </c>
      <c r="Q5">
        <v>34.993335723876903</v>
      </c>
      <c r="R5">
        <v>-2.8232383728027299</v>
      </c>
      <c r="S5">
        <v>21.395341873168899</v>
      </c>
      <c r="T5">
        <v>11.4679050445556</v>
      </c>
      <c r="U5">
        <v>10.6907396316528</v>
      </c>
      <c r="V5">
        <v>3.31425786018371</v>
      </c>
      <c r="W5">
        <v>1.0085402727127</v>
      </c>
      <c r="X5">
        <v>-7.1650281559059001</v>
      </c>
      <c r="Y5">
        <v>1.0261701345443699</v>
      </c>
      <c r="Z5">
        <v>-10.5943551767387</v>
      </c>
      <c r="AA5">
        <v>0.99877381324768</v>
      </c>
      <c r="AB5">
        <v>-11.053734921197499</v>
      </c>
      <c r="AC5">
        <v>-10.5260000228881</v>
      </c>
      <c r="AD5">
        <v>-10.5260000228881</v>
      </c>
      <c r="AE5">
        <v>-10.5260000228881</v>
      </c>
      <c r="AF5" s="1">
        <f t="shared" si="0"/>
        <v>-0.36910247802739349</v>
      </c>
      <c r="AG5" s="1">
        <f t="shared" si="1"/>
        <v>-0.42875862121580255</v>
      </c>
      <c r="AH5" s="1">
        <f t="shared" si="2"/>
        <v>-0.33228015899659979</v>
      </c>
      <c r="AI5" s="2">
        <f t="shared" si="3"/>
        <v>-1.043769877857339E-2</v>
      </c>
      <c r="AJ5" s="2">
        <f t="shared" si="4"/>
        <v>-1.9646107353937511E-2</v>
      </c>
      <c r="AK5" s="2">
        <f t="shared" si="5"/>
        <v>-3.0144204157055602E-2</v>
      </c>
      <c r="AL5" s="53">
        <v>9.8000000000000007</v>
      </c>
      <c r="AM5" s="53">
        <f t="shared" si="6"/>
        <v>-42.01834487914865</v>
      </c>
      <c r="AN5" s="53">
        <f t="shared" si="7"/>
        <v>-32.56345558166678</v>
      </c>
      <c r="AO5" s="53">
        <f t="shared" si="8"/>
        <v>-36.172042846684562</v>
      </c>
    </row>
    <row r="6" spans="1:41" x14ac:dyDescent="0.45">
      <c r="A6">
        <v>5</v>
      </c>
      <c r="B6">
        <v>36.151138305663999</v>
      </c>
      <c r="C6">
        <v>-2.9495699405670099</v>
      </c>
      <c r="D6">
        <v>22.310850143432599</v>
      </c>
      <c r="E6">
        <v>12.5545797348022</v>
      </c>
      <c r="F6">
        <v>11.2688703536987</v>
      </c>
      <c r="G6">
        <v>3.78150010108947</v>
      </c>
      <c r="H6" t="s">
        <v>26</v>
      </c>
      <c r="I6">
        <v>10.526</v>
      </c>
      <c r="J6">
        <v>10.526</v>
      </c>
      <c r="K6">
        <v>1.0155329704284599</v>
      </c>
      <c r="L6">
        <v>-7.5337234779837701</v>
      </c>
      <c r="M6">
        <v>1.0448899269103999</v>
      </c>
      <c r="N6">
        <v>-11.1411997631311</v>
      </c>
      <c r="O6">
        <v>1.02725505828857</v>
      </c>
      <c r="P6">
        <v>1.02725505828857</v>
      </c>
      <c r="Q6">
        <v>35.769073486328097</v>
      </c>
      <c r="R6">
        <v>-2.8850250244140598</v>
      </c>
      <c r="S6">
        <v>21.871278762817301</v>
      </c>
      <c r="T6">
        <v>11.7203731536865</v>
      </c>
      <c r="U6">
        <v>10.928594589233301</v>
      </c>
      <c r="V6">
        <v>3.3869080543518</v>
      </c>
      <c r="W6">
        <v>1.00795102119445</v>
      </c>
      <c r="X6">
        <v>-7.3588740488401001</v>
      </c>
      <c r="Y6">
        <v>1.0253998041152901</v>
      </c>
      <c r="Z6">
        <v>-10.8662581797185</v>
      </c>
      <c r="AA6">
        <v>0.99784755706787098</v>
      </c>
      <c r="AB6">
        <v>-11.347576491977801</v>
      </c>
      <c r="AC6">
        <v>-10.5260000228881</v>
      </c>
      <c r="AD6">
        <v>-10.5260000228881</v>
      </c>
      <c r="AE6">
        <v>-10.5260000228881</v>
      </c>
      <c r="AF6" s="1">
        <f t="shared" si="0"/>
        <v>-0.38206481933590197</v>
      </c>
      <c r="AG6" s="1">
        <f t="shared" si="1"/>
        <v>-0.43957138061529832</v>
      </c>
      <c r="AH6" s="1">
        <f t="shared" si="2"/>
        <v>-0.34027576446539953</v>
      </c>
      <c r="AI6" s="2">
        <f t="shared" si="3"/>
        <v>-1.056854188395063E-2</v>
      </c>
      <c r="AJ6" s="2">
        <f t="shared" si="4"/>
        <v>-1.9702134960764377E-2</v>
      </c>
      <c r="AK6" s="2">
        <f t="shared" si="5"/>
        <v>-3.0196084770263885E-2</v>
      </c>
      <c r="AL6" s="53">
        <v>9.8000000000000007</v>
      </c>
      <c r="AM6" s="53">
        <f t="shared" si="6"/>
        <v>-43.077995300299236</v>
      </c>
      <c r="AN6" s="53">
        <f t="shared" si="7"/>
        <v>-33.347024917609154</v>
      </c>
      <c r="AO6" s="53">
        <f t="shared" si="8"/>
        <v>-37.442352294918393</v>
      </c>
    </row>
    <row r="7" spans="1:41" x14ac:dyDescent="0.45">
      <c r="A7">
        <v>6</v>
      </c>
      <c r="B7">
        <v>38.173080444335902</v>
      </c>
      <c r="C7">
        <v>-3.11454010009765</v>
      </c>
      <c r="D7">
        <v>23.558700561523398</v>
      </c>
      <c r="E7">
        <v>13.2567596435546</v>
      </c>
      <c r="F7">
        <v>11.899140357971101</v>
      </c>
      <c r="G7">
        <v>3.9930000305175701</v>
      </c>
      <c r="H7" t="s">
        <v>26</v>
      </c>
      <c r="I7">
        <v>10.526</v>
      </c>
      <c r="J7">
        <v>10.526</v>
      </c>
      <c r="K7">
        <v>1.0139731168746899</v>
      </c>
      <c r="L7">
        <v>-8.03535391923368</v>
      </c>
      <c r="M7">
        <v>1.04284596443176</v>
      </c>
      <c r="N7">
        <v>-11.8438068148693</v>
      </c>
      <c r="O7">
        <v>1.02483010292053</v>
      </c>
      <c r="P7">
        <v>1.02483010292053</v>
      </c>
      <c r="Q7">
        <v>37.769924163818303</v>
      </c>
      <c r="R7">
        <v>-3.0462396144866899</v>
      </c>
      <c r="S7">
        <v>23.094406127929599</v>
      </c>
      <c r="T7">
        <v>12.3727865219116</v>
      </c>
      <c r="U7">
        <v>11.539211273193301</v>
      </c>
      <c r="V7">
        <v>3.57389187812805</v>
      </c>
      <c r="W7">
        <v>1.00639760494232</v>
      </c>
      <c r="X7">
        <v>-7.8612617873206698</v>
      </c>
      <c r="Y7">
        <v>1.0233863592147801</v>
      </c>
      <c r="Z7">
        <v>-11.571313854294999</v>
      </c>
      <c r="AA7">
        <v>0.99543768167495705</v>
      </c>
      <c r="AB7">
        <v>-12.1094226286646</v>
      </c>
      <c r="AC7">
        <v>-10.5260000228881</v>
      </c>
      <c r="AD7">
        <v>-10.5260000228881</v>
      </c>
      <c r="AE7">
        <v>-10.5260000228881</v>
      </c>
      <c r="AF7" s="1">
        <f t="shared" si="0"/>
        <v>-0.40315628051759944</v>
      </c>
      <c r="AG7" s="1">
        <f t="shared" si="1"/>
        <v>-0.46429443359379974</v>
      </c>
      <c r="AH7" s="1">
        <f t="shared" si="2"/>
        <v>-0.35992908477780006</v>
      </c>
      <c r="AI7" s="2">
        <f t="shared" si="3"/>
        <v>-1.0561271865535796E-2</v>
      </c>
      <c r="AJ7" s="2">
        <f t="shared" si="4"/>
        <v>-1.970798144750377E-2</v>
      </c>
      <c r="AK7" s="2">
        <f t="shared" si="5"/>
        <v>-3.0248326681573061E-2</v>
      </c>
      <c r="AL7" s="53">
        <v>9.8000000000000007</v>
      </c>
      <c r="AM7" s="53">
        <f t="shared" si="6"/>
        <v>-45.500854492192374</v>
      </c>
      <c r="AN7" s="53">
        <f t="shared" si="7"/>
        <v>-35.273050308224406</v>
      </c>
      <c r="AO7" s="53">
        <f t="shared" si="8"/>
        <v>-39.509315490724745</v>
      </c>
    </row>
    <row r="8" spans="1:41" x14ac:dyDescent="0.45">
      <c r="A8">
        <v>7</v>
      </c>
      <c r="B8">
        <v>41.232280731201101</v>
      </c>
      <c r="C8">
        <v>-3.3641402721404998</v>
      </c>
      <c r="D8">
        <v>25.446697235107401</v>
      </c>
      <c r="E8">
        <v>14.3191604614257</v>
      </c>
      <c r="F8">
        <v>12.8527402877807</v>
      </c>
      <c r="G8">
        <v>4.3130002021789497</v>
      </c>
      <c r="H8" t="s">
        <v>26</v>
      </c>
      <c r="I8">
        <v>10.504948000000001</v>
      </c>
      <c r="J8">
        <v>10.504948000000001</v>
      </c>
      <c r="K8">
        <v>1.0115344524383501</v>
      </c>
      <c r="L8">
        <v>-8.8006877212950592</v>
      </c>
      <c r="M8">
        <v>1.03969466686248</v>
      </c>
      <c r="N8">
        <v>-12.9155838868367</v>
      </c>
      <c r="O8">
        <v>1.02111220359802</v>
      </c>
      <c r="P8">
        <v>1.02111220359802</v>
      </c>
      <c r="Q8">
        <v>40.798057556152301</v>
      </c>
      <c r="R8">
        <v>-3.2903068065643302</v>
      </c>
      <c r="S8">
        <v>24.946088790893501</v>
      </c>
      <c r="T8">
        <v>13.361217498779199</v>
      </c>
      <c r="U8">
        <v>12.4638195037841</v>
      </c>
      <c r="V8">
        <v>3.8572092056274401</v>
      </c>
      <c r="W8">
        <v>1.0039883852005</v>
      </c>
      <c r="X8">
        <v>-8.6261644336870305</v>
      </c>
      <c r="Y8">
        <v>1.02032554149627</v>
      </c>
      <c r="Z8">
        <v>-12.644101794268099</v>
      </c>
      <c r="AA8">
        <v>0.991810142993927</v>
      </c>
      <c r="AB8">
        <v>-13.2694346464011</v>
      </c>
      <c r="AC8">
        <v>-10.5049476623535</v>
      </c>
      <c r="AD8">
        <v>-10.5049476623535</v>
      </c>
      <c r="AE8">
        <v>-10.5049476623535</v>
      </c>
      <c r="AF8" s="1">
        <f t="shared" si="0"/>
        <v>-0.4342231750487997</v>
      </c>
      <c r="AG8" s="1">
        <f t="shared" si="1"/>
        <v>-0.50060844421389916</v>
      </c>
      <c r="AH8" s="1">
        <f t="shared" si="2"/>
        <v>-0.38892078399659979</v>
      </c>
      <c r="AI8" s="2">
        <f t="shared" si="3"/>
        <v>-1.0531146163840904E-2</v>
      </c>
      <c r="AJ8" s="2">
        <f t="shared" si="4"/>
        <v>-1.9672825891260945E-2</v>
      </c>
      <c r="AK8" s="2">
        <f t="shared" si="5"/>
        <v>-3.0259755918848906E-2</v>
      </c>
      <c r="AL8" s="53">
        <v>9.8000000000000007</v>
      </c>
      <c r="AM8" s="53">
        <f t="shared" si="6"/>
        <v>-49.059627532962118</v>
      </c>
      <c r="AN8" s="53">
        <f t="shared" si="7"/>
        <v>-38.11423683166678</v>
      </c>
      <c r="AO8" s="53">
        <f t="shared" si="8"/>
        <v>-42.553871154782371</v>
      </c>
    </row>
    <row r="9" spans="1:41" x14ac:dyDescent="0.45">
      <c r="A9">
        <v>8</v>
      </c>
      <c r="B9">
        <v>43.3020210266113</v>
      </c>
      <c r="C9">
        <v>-3.5330102443695002</v>
      </c>
      <c r="D9">
        <v>26.7240486145019</v>
      </c>
      <c r="E9">
        <v>15.037940025329499</v>
      </c>
      <c r="F9">
        <v>13.4979095458984</v>
      </c>
      <c r="G9">
        <v>4.5295000076293901</v>
      </c>
      <c r="H9" t="s">
        <v>26</v>
      </c>
      <c r="I9">
        <v>10.231271999999899</v>
      </c>
      <c r="J9">
        <v>10.231271999999899</v>
      </c>
      <c r="K9">
        <v>1.0098295211791899</v>
      </c>
      <c r="L9">
        <v>-9.32304095666289</v>
      </c>
      <c r="M9">
        <v>1.0375216007232599</v>
      </c>
      <c r="N9">
        <v>-13.646947742772401</v>
      </c>
      <c r="O9">
        <v>1.0185627937316799</v>
      </c>
      <c r="P9">
        <v>1.0185627937316799</v>
      </c>
      <c r="Q9">
        <v>42.855056762695298</v>
      </c>
      <c r="R9">
        <v>-3.4573786258697501</v>
      </c>
      <c r="S9">
        <v>26.212352752685501</v>
      </c>
      <c r="T9">
        <v>14.0551090240478</v>
      </c>
      <c r="U9">
        <v>13.099850654601999</v>
      </c>
      <c r="V9">
        <v>4.0607500076293901</v>
      </c>
      <c r="W9">
        <v>1.0024940967559799</v>
      </c>
      <c r="X9">
        <v>-9.1485023011290991</v>
      </c>
      <c r="Y9">
        <v>1.0187077522277801</v>
      </c>
      <c r="Z9">
        <v>-13.376100857801999</v>
      </c>
      <c r="AA9">
        <v>0.99007469415664595</v>
      </c>
      <c r="AB9">
        <v>-14.0697714607089</v>
      </c>
      <c r="AC9">
        <v>-10.2312717437744</v>
      </c>
      <c r="AD9">
        <v>-10.2312717437744</v>
      </c>
      <c r="AE9">
        <v>-10.2312717437744</v>
      </c>
      <c r="AF9" s="1">
        <f t="shared" si="0"/>
        <v>-0.44696426391600141</v>
      </c>
      <c r="AG9" s="1">
        <f t="shared" si="1"/>
        <v>-0.51169586181639914</v>
      </c>
      <c r="AH9" s="1">
        <f t="shared" si="2"/>
        <v>-0.39805889129640093</v>
      </c>
      <c r="AI9" s="2">
        <f t="shared" si="3"/>
        <v>-1.0322018541382146E-2</v>
      </c>
      <c r="AJ9" s="2">
        <f t="shared" si="4"/>
        <v>-1.9147393016592761E-2</v>
      </c>
      <c r="AK9" s="2">
        <f t="shared" si="5"/>
        <v>-2.9490410344123159E-2</v>
      </c>
      <c r="AL9" s="53">
        <v>20.3</v>
      </c>
      <c r="AM9" s="53">
        <f t="shared" si="6"/>
        <v>-103.87425994872902</v>
      </c>
      <c r="AN9" s="53">
        <f t="shared" si="7"/>
        <v>-80.805954933169389</v>
      </c>
      <c r="AO9" s="53">
        <f t="shared" si="8"/>
        <v>-90.733745574948287</v>
      </c>
    </row>
    <row r="10" spans="1:41" x14ac:dyDescent="0.45">
      <c r="A10">
        <v>9</v>
      </c>
      <c r="B10">
        <v>43.885181427001903</v>
      </c>
      <c r="C10">
        <v>-3.5805900096893302</v>
      </c>
      <c r="D10">
        <v>27.0839519500732</v>
      </c>
      <c r="E10">
        <v>15.240460395812899</v>
      </c>
      <c r="F10">
        <v>13.679690361022899</v>
      </c>
      <c r="G10">
        <v>4.5904998779296804</v>
      </c>
      <c r="H10" t="s">
        <v>26</v>
      </c>
      <c r="I10">
        <v>9.4102440000000005</v>
      </c>
      <c r="J10">
        <v>9.4102440000000005</v>
      </c>
      <c r="K10">
        <v>1.0093410015106199</v>
      </c>
      <c r="L10">
        <v>-9.4708957704299692</v>
      </c>
      <c r="M10">
        <v>1.03690314292907</v>
      </c>
      <c r="N10">
        <v>-13.8539434575179</v>
      </c>
      <c r="O10">
        <v>1.01783943176269</v>
      </c>
      <c r="P10">
        <v>1.01783943176269</v>
      </c>
      <c r="Q10">
        <v>43.458244323730398</v>
      </c>
      <c r="R10">
        <v>-3.5101194381713801</v>
      </c>
      <c r="S10">
        <v>26.607742309570298</v>
      </c>
      <c r="T10">
        <v>14.3242540359497</v>
      </c>
      <c r="U10">
        <v>13.3092031478881</v>
      </c>
      <c r="V10">
        <v>4.1532053947448704</v>
      </c>
      <c r="W10">
        <v>1.0026053190231301</v>
      </c>
      <c r="X10">
        <v>-9.3094522951936707</v>
      </c>
      <c r="Y10">
        <v>1.01963782310485</v>
      </c>
      <c r="Z10">
        <v>-13.604193319525701</v>
      </c>
      <c r="AA10">
        <v>0.99169778823852495</v>
      </c>
      <c r="AB10">
        <v>-14.3427263128298</v>
      </c>
      <c r="AC10">
        <v>-9.4102439880371094</v>
      </c>
      <c r="AD10">
        <v>-9.4102439880371094</v>
      </c>
      <c r="AE10">
        <v>-9.4102439880371094</v>
      </c>
      <c r="AF10" s="1">
        <f t="shared" si="0"/>
        <v>-0.42693710327150569</v>
      </c>
      <c r="AG10" s="1">
        <f t="shared" si="1"/>
        <v>-0.47620964050290127</v>
      </c>
      <c r="AH10" s="1">
        <f t="shared" si="2"/>
        <v>-0.37048721313479938</v>
      </c>
      <c r="AI10" s="2">
        <f t="shared" si="3"/>
        <v>-9.7285026377677813E-3</v>
      </c>
      <c r="AJ10" s="2">
        <f t="shared" si="4"/>
        <v>-1.7582723576705143E-2</v>
      </c>
      <c r="AK10" s="2">
        <f t="shared" si="5"/>
        <v>-2.7083011629445698E-2</v>
      </c>
      <c r="AL10" s="53">
        <v>20.3</v>
      </c>
      <c r="AM10" s="53">
        <f t="shared" si="6"/>
        <v>-96.670557022088957</v>
      </c>
      <c r="AN10" s="53">
        <f t="shared" si="7"/>
        <v>-75.208904266364272</v>
      </c>
      <c r="AO10" s="53">
        <f t="shared" si="8"/>
        <v>-86.668231964115648</v>
      </c>
    </row>
    <row r="11" spans="1:41" x14ac:dyDescent="0.45">
      <c r="A11">
        <v>10</v>
      </c>
      <c r="B11">
        <v>44.119400024413999</v>
      </c>
      <c r="C11">
        <v>-3.5996999740600502</v>
      </c>
      <c r="D11">
        <v>27.228502273559499</v>
      </c>
      <c r="E11">
        <v>15.3218002319335</v>
      </c>
      <c r="F11">
        <v>13.752700805664</v>
      </c>
      <c r="G11">
        <v>4.6149997711181596</v>
      </c>
      <c r="H11" t="s">
        <v>26</v>
      </c>
      <c r="I11">
        <v>8.2839620000000007</v>
      </c>
      <c r="J11">
        <v>8.2839620000000007</v>
      </c>
      <c r="K11">
        <v>1.00914371013641</v>
      </c>
      <c r="L11">
        <v>-9.5303739120015507</v>
      </c>
      <c r="M11">
        <v>1.03665387630462</v>
      </c>
      <c r="N11">
        <v>-13.937212001944401</v>
      </c>
      <c r="O11">
        <v>1.0175479650497401</v>
      </c>
      <c r="P11">
        <v>1.0175479650497401</v>
      </c>
      <c r="Q11">
        <v>43.725921630859297</v>
      </c>
      <c r="R11">
        <v>-3.5374090671539302</v>
      </c>
      <c r="S11">
        <v>26.807985305786101</v>
      </c>
      <c r="T11">
        <v>14.5116758346557</v>
      </c>
      <c r="U11">
        <v>13.425621032714799</v>
      </c>
      <c r="V11">
        <v>4.2281923294067303</v>
      </c>
      <c r="W11">
        <v>1.0032261610031099</v>
      </c>
      <c r="X11">
        <v>-9.3873514571133203</v>
      </c>
      <c r="Y11">
        <v>1.0214937925338701</v>
      </c>
      <c r="Z11">
        <v>-13.7168888804677</v>
      </c>
      <c r="AA11">
        <v>0.99460178613662698</v>
      </c>
      <c r="AB11">
        <v>-14.500462702862601</v>
      </c>
      <c r="AC11">
        <v>-8.2839622497558594</v>
      </c>
      <c r="AD11">
        <v>-8.2839622497558594</v>
      </c>
      <c r="AE11">
        <v>-8.2839622497558594</v>
      </c>
      <c r="AF11" s="1">
        <f t="shared" si="0"/>
        <v>-0.39347839355470171</v>
      </c>
      <c r="AG11" s="1">
        <f t="shared" si="1"/>
        <v>-0.42051696777339842</v>
      </c>
      <c r="AH11" s="1">
        <f t="shared" si="2"/>
        <v>-0.32707977294920099</v>
      </c>
      <c r="AI11" s="2">
        <f t="shared" si="3"/>
        <v>-8.9184892209995086E-3</v>
      </c>
      <c r="AJ11" s="2">
        <f t="shared" si="4"/>
        <v>-1.5443999216282473E-2</v>
      </c>
      <c r="AK11" s="2">
        <f t="shared" si="5"/>
        <v>-2.3782948351097288E-2</v>
      </c>
      <c r="AL11" s="53">
        <v>20.3</v>
      </c>
      <c r="AM11" s="53">
        <f t="shared" si="6"/>
        <v>-85.364944457999883</v>
      </c>
      <c r="AN11" s="53">
        <f t="shared" si="7"/>
        <v>-66.397193908687797</v>
      </c>
      <c r="AO11" s="53">
        <f t="shared" si="8"/>
        <v>-79.876113891604447</v>
      </c>
    </row>
    <row r="12" spans="1:41" x14ac:dyDescent="0.45">
      <c r="A12">
        <v>11</v>
      </c>
      <c r="B12">
        <v>44.267578125</v>
      </c>
      <c r="C12">
        <v>-3.61178994178771</v>
      </c>
      <c r="D12">
        <v>27.319950103759702</v>
      </c>
      <c r="E12">
        <v>15.3732595443725</v>
      </c>
      <c r="F12">
        <v>13.7988891601562</v>
      </c>
      <c r="G12">
        <v>4.6304998397827104</v>
      </c>
      <c r="H12" t="s">
        <v>26</v>
      </c>
      <c r="I12">
        <v>7.1471539999999996</v>
      </c>
      <c r="J12">
        <v>7.1471539999999996</v>
      </c>
      <c r="K12">
        <v>1.0090185403823799</v>
      </c>
      <c r="L12">
        <v>-9.5680347216314008</v>
      </c>
      <c r="M12">
        <v>1.0364959239959699</v>
      </c>
      <c r="N12">
        <v>-13.9899359401431</v>
      </c>
      <c r="O12">
        <v>1.0173631906509399</v>
      </c>
      <c r="P12">
        <v>1.0173631906509399</v>
      </c>
      <c r="Q12">
        <v>43.908809661865199</v>
      </c>
      <c r="R12">
        <v>-3.5579361915588299</v>
      </c>
      <c r="S12">
        <v>26.956727981567301</v>
      </c>
      <c r="T12">
        <v>14.6726922988891</v>
      </c>
      <c r="U12">
        <v>13.5164470672607</v>
      </c>
      <c r="V12">
        <v>4.2958931922912598</v>
      </c>
      <c r="W12">
        <v>1.00392293930053</v>
      </c>
      <c r="X12">
        <v>-9.4438157776880196</v>
      </c>
      <c r="Y12">
        <v>1.02344858646392</v>
      </c>
      <c r="Z12">
        <v>-13.7996323540973</v>
      </c>
      <c r="AA12">
        <v>0.99762141704559304</v>
      </c>
      <c r="AB12">
        <v>-14.625818873312401</v>
      </c>
      <c r="AC12">
        <v>-7.1471543312072701</v>
      </c>
      <c r="AD12">
        <v>-7.1471543312072701</v>
      </c>
      <c r="AE12">
        <v>-7.1471543312072701</v>
      </c>
      <c r="AF12" s="1">
        <f t="shared" si="0"/>
        <v>-0.35876846313480115</v>
      </c>
      <c r="AG12" s="1">
        <f t="shared" si="1"/>
        <v>-0.36322212219240058</v>
      </c>
      <c r="AH12" s="1">
        <f t="shared" si="2"/>
        <v>-0.28244209289550071</v>
      </c>
      <c r="AI12" s="2">
        <f t="shared" si="3"/>
        <v>-8.1045423836319519E-3</v>
      </c>
      <c r="AJ12" s="2">
        <f t="shared" si="4"/>
        <v>-1.3295123922734211E-2</v>
      </c>
      <c r="AK12" s="2">
        <f t="shared" si="5"/>
        <v>-2.0468465948044728E-2</v>
      </c>
      <c r="AL12" s="53">
        <v>20.3</v>
      </c>
      <c r="AM12" s="53">
        <f t="shared" si="6"/>
        <v>-73.73409080505732</v>
      </c>
      <c r="AN12" s="53">
        <f t="shared" si="7"/>
        <v>-57.335744857786644</v>
      </c>
      <c r="AO12" s="53">
        <f t="shared" si="8"/>
        <v>-72.829998016364641</v>
      </c>
    </row>
    <row r="13" spans="1:41" x14ac:dyDescent="0.45">
      <c r="A13">
        <v>12</v>
      </c>
      <c r="B13">
        <v>44.415760040283203</v>
      </c>
      <c r="C13">
        <v>-3.62388014793396</v>
      </c>
      <c r="D13">
        <v>27.411401748657202</v>
      </c>
      <c r="E13">
        <v>15.424719810485801</v>
      </c>
      <c r="F13">
        <v>13.8450803756713</v>
      </c>
      <c r="G13">
        <v>4.6459999084472603</v>
      </c>
      <c r="H13" t="s">
        <v>26</v>
      </c>
      <c r="I13">
        <v>6.5155940000000001</v>
      </c>
      <c r="J13">
        <v>6.5155940000000001</v>
      </c>
      <c r="K13">
        <v>1.0088931322097701</v>
      </c>
      <c r="L13">
        <v>-9.6057160218289503</v>
      </c>
      <c r="M13">
        <v>1.03633773326873</v>
      </c>
      <c r="N13">
        <v>-14.042688906645999</v>
      </c>
      <c r="O13">
        <v>1.01717841625213</v>
      </c>
      <c r="P13">
        <v>1.01717841625213</v>
      </c>
      <c r="Q13">
        <v>44.075836181640597</v>
      </c>
      <c r="R13">
        <v>-3.5746507644653298</v>
      </c>
      <c r="S13">
        <v>27.079570770263601</v>
      </c>
      <c r="T13">
        <v>14.784212112426699</v>
      </c>
      <c r="U13">
        <v>13.587061882019</v>
      </c>
      <c r="V13">
        <v>4.3399877548217702</v>
      </c>
      <c r="W13">
        <v>1.0042527914047199</v>
      </c>
      <c r="X13">
        <v>-9.4919848334452492</v>
      </c>
      <c r="Y13">
        <v>1.0244601964950499</v>
      </c>
      <c r="Z13">
        <v>-13.8691500200605</v>
      </c>
      <c r="AA13">
        <v>0.99920874834060602</v>
      </c>
      <c r="AB13">
        <v>-14.7207807016974</v>
      </c>
      <c r="AC13">
        <v>-6.5155940055847097</v>
      </c>
      <c r="AD13">
        <v>-6.5155940055847097</v>
      </c>
      <c r="AE13">
        <v>-6.5155940055847097</v>
      </c>
      <c r="AF13" s="1">
        <f t="shared" si="0"/>
        <v>-0.33992385864260655</v>
      </c>
      <c r="AG13" s="1">
        <f t="shared" si="1"/>
        <v>-0.33183097839360087</v>
      </c>
      <c r="AH13" s="1">
        <f t="shared" si="2"/>
        <v>-0.25801849365229934</v>
      </c>
      <c r="AI13" s="2">
        <f t="shared" si="3"/>
        <v>-7.6532262047144996E-3</v>
      </c>
      <c r="AJ13" s="2">
        <f t="shared" si="4"/>
        <v>-1.210558224771764E-2</v>
      </c>
      <c r="AK13" s="2">
        <f t="shared" si="5"/>
        <v>-1.8636113814528066E-2</v>
      </c>
      <c r="AL13" s="53">
        <v>15.7</v>
      </c>
      <c r="AM13" s="53">
        <f t="shared" si="6"/>
        <v>-52.097463607795333</v>
      </c>
      <c r="AN13" s="53">
        <f t="shared" si="7"/>
        <v>-40.508903503410998</v>
      </c>
      <c r="AO13" s="53">
        <f t="shared" si="8"/>
        <v>-53.368045806889228</v>
      </c>
    </row>
    <row r="14" spans="1:41" x14ac:dyDescent="0.45">
      <c r="A14">
        <v>13</v>
      </c>
      <c r="B14">
        <v>44.559158325195298</v>
      </c>
      <c r="C14">
        <v>-3.63558006286621</v>
      </c>
      <c r="D14">
        <v>27.499902725219702</v>
      </c>
      <c r="E14">
        <v>15.474518775939901</v>
      </c>
      <c r="F14">
        <v>13.889780998229901</v>
      </c>
      <c r="G14">
        <v>4.6609997749328604</v>
      </c>
      <c r="H14" t="s">
        <v>26</v>
      </c>
      <c r="I14">
        <v>6.7050619999999999</v>
      </c>
      <c r="J14">
        <v>6.7050619999999999</v>
      </c>
      <c r="K14">
        <v>1.00877165794372</v>
      </c>
      <c r="L14">
        <v>-9.6421969162696595</v>
      </c>
      <c r="M14">
        <v>1.0361845493316599</v>
      </c>
      <c r="N14">
        <v>-14.093759085277901</v>
      </c>
      <c r="O14">
        <v>1.0169996023178101</v>
      </c>
      <c r="P14">
        <v>1.0169996023178101</v>
      </c>
      <c r="Q14">
        <v>44.212127685546797</v>
      </c>
      <c r="R14">
        <v>-3.5847327709197998</v>
      </c>
      <c r="S14">
        <v>27.157190322875898</v>
      </c>
      <c r="T14">
        <v>14.8129405975341</v>
      </c>
      <c r="U14">
        <v>13.6232643127441</v>
      </c>
      <c r="V14">
        <v>4.3448829650878897</v>
      </c>
      <c r="W14">
        <v>1.00399506092071</v>
      </c>
      <c r="X14">
        <v>-9.5252290719655104</v>
      </c>
      <c r="Y14">
        <v>1.02395844459533</v>
      </c>
      <c r="Z14">
        <v>-13.915095849224</v>
      </c>
      <c r="AA14">
        <v>0.99850040674209595</v>
      </c>
      <c r="AB14">
        <v>-14.7645212335139</v>
      </c>
      <c r="AC14">
        <v>-6.7050619125366202</v>
      </c>
      <c r="AD14">
        <v>-6.7050619125366202</v>
      </c>
      <c r="AE14">
        <v>-6.7050619125366202</v>
      </c>
      <c r="AF14" s="1">
        <f t="shared" si="0"/>
        <v>-0.34703063964850145</v>
      </c>
      <c r="AG14" s="1">
        <f t="shared" si="1"/>
        <v>-0.34271240234380329</v>
      </c>
      <c r="AH14" s="1">
        <f t="shared" si="2"/>
        <v>-0.26651668548580076</v>
      </c>
      <c r="AI14" s="2">
        <f t="shared" si="3"/>
        <v>-7.7880878520157834E-3</v>
      </c>
      <c r="AJ14" s="2">
        <f t="shared" si="4"/>
        <v>-1.2462313258639546E-2</v>
      </c>
      <c r="AK14" s="2">
        <f t="shared" si="5"/>
        <v>-1.9187968875806278E-2</v>
      </c>
      <c r="AL14" s="53">
        <v>15.7</v>
      </c>
      <c r="AM14" s="53">
        <f t="shared" si="6"/>
        <v>-53.80584716797712</v>
      </c>
      <c r="AN14" s="53">
        <f t="shared" si="7"/>
        <v>-41.843119621270716</v>
      </c>
      <c r="AO14" s="53">
        <f t="shared" si="8"/>
        <v>-54.483810424814727</v>
      </c>
    </row>
    <row r="15" spans="1:41" x14ac:dyDescent="0.45">
      <c r="A15">
        <v>14</v>
      </c>
      <c r="B15">
        <v>44.6356391906738</v>
      </c>
      <c r="C15">
        <v>-3.6418199539184499</v>
      </c>
      <c r="D15">
        <v>27.547100067138601</v>
      </c>
      <c r="E15">
        <v>15.5010786056518</v>
      </c>
      <c r="F15">
        <v>13.9136199951171</v>
      </c>
      <c r="G15">
        <v>4.6690001487731898</v>
      </c>
      <c r="H15" t="s">
        <v>26</v>
      </c>
      <c r="I15">
        <v>7.0103160000000004</v>
      </c>
      <c r="J15">
        <v>7.0103160000000004</v>
      </c>
      <c r="K15">
        <v>1.00870668888092</v>
      </c>
      <c r="L15">
        <v>-9.6616569791540492</v>
      </c>
      <c r="M15">
        <v>1.0361028909683201</v>
      </c>
      <c r="N15">
        <v>-14.121001295014</v>
      </c>
      <c r="O15">
        <v>1.0169042348861601</v>
      </c>
      <c r="P15">
        <v>1.0169042348861601</v>
      </c>
      <c r="Q15">
        <v>44.278301239013601</v>
      </c>
      <c r="R15">
        <v>-3.5885415077209402</v>
      </c>
      <c r="S15">
        <v>27.1879577636718</v>
      </c>
      <c r="T15">
        <v>14.807857513427701</v>
      </c>
      <c r="U15">
        <v>13.634288787841699</v>
      </c>
      <c r="V15">
        <v>4.3377542495727504</v>
      </c>
      <c r="W15">
        <v>1.0037103891372601</v>
      </c>
      <c r="X15">
        <v>-9.5395545400977095</v>
      </c>
      <c r="Y15">
        <v>1.0233131647109901</v>
      </c>
      <c r="Z15">
        <v>-13.9341717139643</v>
      </c>
      <c r="AA15">
        <v>0.99754971265792802</v>
      </c>
      <c r="AB15">
        <v>-14.775567357043</v>
      </c>
      <c r="AC15">
        <v>-7.0103158950805602</v>
      </c>
      <c r="AD15">
        <v>-7.0103158950805602</v>
      </c>
      <c r="AE15">
        <v>-7.0103158950805602</v>
      </c>
      <c r="AF15" s="1">
        <f t="shared" si="0"/>
        <v>-0.35733795166019888</v>
      </c>
      <c r="AG15" s="1">
        <f t="shared" si="1"/>
        <v>-0.35914230346680043</v>
      </c>
      <c r="AH15" s="1">
        <f t="shared" si="2"/>
        <v>-0.27933120727540128</v>
      </c>
      <c r="AI15" s="2">
        <f t="shared" si="3"/>
        <v>-8.005664490066523E-3</v>
      </c>
      <c r="AJ15" s="2">
        <f t="shared" si="4"/>
        <v>-1.3037390599790477E-2</v>
      </c>
      <c r="AK15" s="2">
        <f t="shared" si="5"/>
        <v>-2.0076098626628503E-2</v>
      </c>
      <c r="AL15" s="53">
        <v>15.7</v>
      </c>
      <c r="AM15" s="53">
        <f t="shared" si="6"/>
        <v>-56.385341644287664</v>
      </c>
      <c r="AN15" s="53">
        <f t="shared" si="7"/>
        <v>-43.854999542238005</v>
      </c>
      <c r="AO15" s="53">
        <f t="shared" si="8"/>
        <v>-56.102058410651225</v>
      </c>
    </row>
    <row r="16" spans="1:41" x14ac:dyDescent="0.45">
      <c r="A16">
        <v>15</v>
      </c>
      <c r="B16">
        <v>44.951118469238203</v>
      </c>
      <c r="C16">
        <v>-3.6675601005554199</v>
      </c>
      <c r="D16">
        <v>27.741802215576101</v>
      </c>
      <c r="E16">
        <v>15.6106395721435</v>
      </c>
      <c r="F16">
        <v>14.011960029601999</v>
      </c>
      <c r="G16">
        <v>4.7020001411437899</v>
      </c>
      <c r="H16" t="s">
        <v>26</v>
      </c>
      <c r="I16">
        <v>7.8839740000000003</v>
      </c>
      <c r="J16">
        <v>7.8839740000000003</v>
      </c>
      <c r="K16">
        <v>1.00843834877014</v>
      </c>
      <c r="L16">
        <v>-9.7419970799490798</v>
      </c>
      <c r="M16">
        <v>1.0357652902603101</v>
      </c>
      <c r="N16">
        <v>-14.233468044616799</v>
      </c>
      <c r="O16">
        <v>1.0165103673934901</v>
      </c>
      <c r="P16">
        <v>1.0165103673934901</v>
      </c>
      <c r="Q16">
        <v>44.563209533691399</v>
      </c>
      <c r="R16">
        <v>-3.6071255207061701</v>
      </c>
      <c r="S16">
        <v>27.334335327148398</v>
      </c>
      <c r="T16">
        <v>14.8242635726928</v>
      </c>
      <c r="U16">
        <v>13.6948986053466</v>
      </c>
      <c r="V16">
        <v>4.3261585235595703</v>
      </c>
      <c r="W16">
        <v>1.0028119087219201</v>
      </c>
      <c r="X16">
        <v>-9.6052003425422292</v>
      </c>
      <c r="Y16">
        <v>1.0213598012924101</v>
      </c>
      <c r="Z16">
        <v>-14.023321905089899</v>
      </c>
      <c r="AA16">
        <v>0.994700968265533</v>
      </c>
      <c r="AB16">
        <v>-14.844412249367201</v>
      </c>
      <c r="AC16">
        <v>-7.8839740753173801</v>
      </c>
      <c r="AD16">
        <v>-7.8839740753173801</v>
      </c>
      <c r="AE16">
        <v>-7.8839740753173801</v>
      </c>
      <c r="AF16" s="1">
        <f t="shared" si="0"/>
        <v>-0.38790893554680395</v>
      </c>
      <c r="AG16" s="1">
        <f t="shared" si="1"/>
        <v>-0.4074668884277024</v>
      </c>
      <c r="AH16" s="1">
        <f t="shared" si="2"/>
        <v>-0.31706142425539952</v>
      </c>
      <c r="AI16" s="2">
        <f t="shared" si="3"/>
        <v>-8.6295724946702963E-3</v>
      </c>
      <c r="AJ16" s="2">
        <f t="shared" si="4"/>
        <v>-1.4687830489935627E-2</v>
      </c>
      <c r="AK16" s="2">
        <f t="shared" si="5"/>
        <v>-2.2627913838290149E-2</v>
      </c>
      <c r="AL16" s="53">
        <v>15.7</v>
      </c>
      <c r="AM16" s="53">
        <f t="shared" si="6"/>
        <v>-63.97230148314928</v>
      </c>
      <c r="AN16" s="53">
        <f t="shared" si="7"/>
        <v>-49.778643608097724</v>
      </c>
      <c r="AO16" s="53">
        <f t="shared" si="8"/>
        <v>-60.901702880848219</v>
      </c>
    </row>
    <row r="17" spans="1:42" x14ac:dyDescent="0.45">
      <c r="A17">
        <v>16</v>
      </c>
      <c r="B17">
        <v>45.859321594238203</v>
      </c>
      <c r="C17">
        <v>-3.7416598796844398</v>
      </c>
      <c r="D17">
        <v>28.302299499511701</v>
      </c>
      <c r="E17">
        <v>15.926038742065399</v>
      </c>
      <c r="F17">
        <v>14.2950592041015</v>
      </c>
      <c r="G17">
        <v>4.7969999313354403</v>
      </c>
      <c r="H17" t="s">
        <v>26</v>
      </c>
      <c r="I17">
        <v>8.9155219999999993</v>
      </c>
      <c r="J17">
        <v>8.9155219999999993</v>
      </c>
      <c r="K17">
        <v>1.0076440572738601</v>
      </c>
      <c r="L17">
        <v>-9.9747759052568608</v>
      </c>
      <c r="M17">
        <v>1.0347818136215201</v>
      </c>
      <c r="N17">
        <v>-14.5589683962428</v>
      </c>
      <c r="O17">
        <v>1.0153677463531401</v>
      </c>
      <c r="P17">
        <v>1.0153677463531401</v>
      </c>
      <c r="Q17">
        <v>45.430446624755803</v>
      </c>
      <c r="R17">
        <v>-3.6719198226928702</v>
      </c>
      <c r="S17">
        <v>27.8313808441162</v>
      </c>
      <c r="T17">
        <v>15.0164995193481</v>
      </c>
      <c r="U17">
        <v>13.928193092346101</v>
      </c>
      <c r="V17">
        <v>4.3617978096008301</v>
      </c>
      <c r="W17">
        <v>1.00128734111785</v>
      </c>
      <c r="X17">
        <v>-9.8195683927857793</v>
      </c>
      <c r="Y17">
        <v>1.0184758901596001</v>
      </c>
      <c r="Z17">
        <v>-14.3203557355606</v>
      </c>
      <c r="AA17">
        <v>0.99065482616424505</v>
      </c>
      <c r="AB17">
        <v>-15.1327640555554</v>
      </c>
      <c r="AC17">
        <v>-8.9155216217040998</v>
      </c>
      <c r="AD17">
        <v>-8.9155216217040998</v>
      </c>
      <c r="AE17">
        <v>-8.9155216217040998</v>
      </c>
      <c r="AF17" s="1">
        <f t="shared" si="0"/>
        <v>-0.42887496948240056</v>
      </c>
      <c r="AG17" s="1">
        <f t="shared" si="1"/>
        <v>-0.47091865539550071</v>
      </c>
      <c r="AH17" s="1">
        <f t="shared" si="2"/>
        <v>-0.36686611175539952</v>
      </c>
      <c r="AI17" s="2">
        <f t="shared" si="3"/>
        <v>-9.3519693395613755E-3</v>
      </c>
      <c r="AJ17" s="2">
        <f t="shared" si="4"/>
        <v>-1.6638883190520454E-2</v>
      </c>
      <c r="AK17" s="2">
        <f t="shared" si="5"/>
        <v>-2.5663839968577344E-2</v>
      </c>
      <c r="AL17" s="53">
        <v>15.7</v>
      </c>
      <c r="AM17" s="53">
        <f t="shared" si="6"/>
        <v>-73.934228897093618</v>
      </c>
      <c r="AN17" s="53">
        <f t="shared" si="7"/>
        <v>-57.597979545597724</v>
      </c>
      <c r="AO17" s="53">
        <f t="shared" si="8"/>
        <v>-67.333370208736881</v>
      </c>
    </row>
    <row r="18" spans="1:42" x14ac:dyDescent="0.45">
      <c r="A18">
        <v>17</v>
      </c>
      <c r="B18">
        <v>47.2407417297363</v>
      </c>
      <c r="C18">
        <v>-3.8543701171875</v>
      </c>
      <c r="D18">
        <v>29.154850006103501</v>
      </c>
      <c r="E18">
        <v>16.4057807922363</v>
      </c>
      <c r="F18">
        <v>14.725669860839799</v>
      </c>
      <c r="G18">
        <v>4.9415001869201598</v>
      </c>
      <c r="H18" t="s">
        <v>26</v>
      </c>
      <c r="I18">
        <v>9.8418100000000006</v>
      </c>
      <c r="J18">
        <v>9.8418100000000006</v>
      </c>
      <c r="K18">
        <v>1.00643718242645</v>
      </c>
      <c r="L18">
        <v>-10.3292132073211</v>
      </c>
      <c r="M18">
        <v>1.03328132629394</v>
      </c>
      <c r="N18">
        <v>-15.0549374643963</v>
      </c>
      <c r="O18">
        <v>1.0136250257492001</v>
      </c>
      <c r="P18">
        <v>1.0136250257492001</v>
      </c>
      <c r="Q18">
        <v>46.766399383544901</v>
      </c>
      <c r="R18">
        <v>-3.7744953632354701</v>
      </c>
      <c r="S18">
        <v>28.617927551269499</v>
      </c>
      <c r="T18">
        <v>15.366975784301699</v>
      </c>
      <c r="U18">
        <v>14.306992530822701</v>
      </c>
      <c r="V18">
        <v>4.4438729286193803</v>
      </c>
      <c r="W18">
        <v>0.99938380718231201</v>
      </c>
      <c r="X18">
        <v>-10.157666174669201</v>
      </c>
      <c r="Y18">
        <v>1.0152568817138601</v>
      </c>
      <c r="Z18">
        <v>-14.791268254530999</v>
      </c>
      <c r="AA18">
        <v>0.98628777265548695</v>
      </c>
      <c r="AB18">
        <v>-15.612315056351999</v>
      </c>
      <c r="AC18">
        <v>-9.8418102264404297</v>
      </c>
      <c r="AD18">
        <v>-9.8418102264404297</v>
      </c>
      <c r="AE18">
        <v>-9.8418102264404297</v>
      </c>
      <c r="AF18" s="1">
        <f t="shared" si="0"/>
        <v>-0.47434234619139914</v>
      </c>
      <c r="AG18" s="1">
        <f t="shared" si="1"/>
        <v>-0.53692245483400214</v>
      </c>
      <c r="AH18" s="1">
        <f t="shared" si="2"/>
        <v>-0.41867733001709873</v>
      </c>
      <c r="AI18" s="2">
        <f t="shared" si="3"/>
        <v>-1.0040958901642694E-2</v>
      </c>
      <c r="AJ18" s="2">
        <f t="shared" si="4"/>
        <v>-1.8416231080646914E-2</v>
      </c>
      <c r="AK18" s="2">
        <f t="shared" si="5"/>
        <v>-2.8431802014690945E-2</v>
      </c>
      <c r="AL18" s="53">
        <v>15.7</v>
      </c>
      <c r="AM18" s="53">
        <f t="shared" si="6"/>
        <v>-84.296825408938332</v>
      </c>
      <c r="AN18" s="53">
        <f t="shared" si="7"/>
        <v>-65.732340812684498</v>
      </c>
      <c r="AO18" s="53">
        <f t="shared" si="8"/>
        <v>-74.471748352049673</v>
      </c>
    </row>
    <row r="19" spans="1:42" x14ac:dyDescent="0.45">
      <c r="A19">
        <v>18</v>
      </c>
      <c r="B19">
        <v>47.799999237060497</v>
      </c>
      <c r="C19">
        <v>-3.9000000953674299</v>
      </c>
      <c r="D19">
        <v>29.4999980926513</v>
      </c>
      <c r="E19">
        <v>16.600000381469702</v>
      </c>
      <c r="F19">
        <v>14.8999986648559</v>
      </c>
      <c r="G19">
        <v>5</v>
      </c>
      <c r="H19" t="s">
        <v>26</v>
      </c>
      <c r="I19">
        <v>10.378636</v>
      </c>
      <c r="J19">
        <v>10.378636</v>
      </c>
      <c r="K19">
        <v>1.00594234466552</v>
      </c>
      <c r="L19">
        <v>-10.4732499453097</v>
      </c>
      <c r="M19">
        <v>1.03266930580139</v>
      </c>
      <c r="N19">
        <v>-15.256469027759399</v>
      </c>
      <c r="O19">
        <v>1.0129156112670801</v>
      </c>
      <c r="P19">
        <v>1.0129156112670801</v>
      </c>
      <c r="Q19">
        <v>47.276229858398402</v>
      </c>
      <c r="R19">
        <v>-3.8085222244262602</v>
      </c>
      <c r="S19">
        <v>28.919845581054599</v>
      </c>
      <c r="T19">
        <v>15.4770135879516</v>
      </c>
      <c r="U19">
        <v>14.4503479003906</v>
      </c>
      <c r="V19">
        <v>4.4652695655822701</v>
      </c>
      <c r="W19">
        <v>0.99796283245086603</v>
      </c>
      <c r="X19">
        <v>-10.290346869292501</v>
      </c>
      <c r="Y19">
        <v>1.0134310722351001</v>
      </c>
      <c r="Z19">
        <v>-14.9781575997364</v>
      </c>
      <c r="AA19">
        <v>0.98391604423522905</v>
      </c>
      <c r="AB19">
        <v>-15.798582854337599</v>
      </c>
      <c r="AC19">
        <v>-10.3786363601684</v>
      </c>
      <c r="AD19">
        <v>-10.3786363601684</v>
      </c>
      <c r="AE19">
        <v>-10.3786363601684</v>
      </c>
      <c r="AF19" s="1">
        <f t="shared" si="0"/>
        <v>-0.52376937866209516</v>
      </c>
      <c r="AG19" s="1">
        <f t="shared" si="1"/>
        <v>-0.580152511596701</v>
      </c>
      <c r="AH19" s="1">
        <f t="shared" si="2"/>
        <v>-0.44965076446530006</v>
      </c>
      <c r="AI19" s="2">
        <f t="shared" si="3"/>
        <v>-1.0957518556946003E-2</v>
      </c>
      <c r="AJ19" s="2">
        <f t="shared" si="4"/>
        <v>-1.9666188105321333E-2</v>
      </c>
      <c r="AK19" s="2">
        <f t="shared" si="5"/>
        <v>-3.0177906359540516E-2</v>
      </c>
      <c r="AL19" s="53">
        <v>20.3</v>
      </c>
      <c r="AM19" s="53">
        <f t="shared" si="6"/>
        <v>-117.7709598541303</v>
      </c>
      <c r="AN19" s="53">
        <f t="shared" si="7"/>
        <v>-91.279105186455908</v>
      </c>
      <c r="AO19" s="53">
        <f t="shared" si="8"/>
        <v>-106.32518386840532</v>
      </c>
    </row>
    <row r="20" spans="1:42" x14ac:dyDescent="0.45">
      <c r="A20">
        <v>19</v>
      </c>
      <c r="B20">
        <v>47.637481689453097</v>
      </c>
      <c r="C20">
        <v>-3.88673996925354</v>
      </c>
      <c r="D20">
        <v>29.3996982574462</v>
      </c>
      <c r="E20">
        <v>16.543560028076101</v>
      </c>
      <c r="F20">
        <v>14.849340438842701</v>
      </c>
      <c r="G20">
        <v>4.9829998016357404</v>
      </c>
      <c r="H20" t="s">
        <v>26</v>
      </c>
      <c r="I20">
        <v>10.515473999999999</v>
      </c>
      <c r="J20">
        <v>10.515473999999999</v>
      </c>
      <c r="K20">
        <v>1.00608646869659</v>
      </c>
      <c r="L20">
        <v>-10.431360394774</v>
      </c>
      <c r="M20">
        <v>1.03284752368927</v>
      </c>
      <c r="N20">
        <v>-15.1978608815407</v>
      </c>
      <c r="O20">
        <v>1.0131219625473</v>
      </c>
      <c r="P20">
        <v>1.0131219625473</v>
      </c>
      <c r="Q20">
        <v>47.115360260009702</v>
      </c>
      <c r="R20">
        <v>-3.7955675125121999</v>
      </c>
      <c r="S20">
        <v>28.8150215148925</v>
      </c>
      <c r="T20">
        <v>15.412257194519</v>
      </c>
      <c r="U20">
        <v>14.395627021789499</v>
      </c>
      <c r="V20">
        <v>4.4437308311462402</v>
      </c>
      <c r="W20">
        <v>0.99810421466827304</v>
      </c>
      <c r="X20">
        <v>-10.246706228993499</v>
      </c>
      <c r="Y20">
        <v>1.01338970661163</v>
      </c>
      <c r="Z20">
        <v>-14.9161514343768</v>
      </c>
      <c r="AA20">
        <v>0.98375451564788796</v>
      </c>
      <c r="AB20">
        <v>-15.726847084422699</v>
      </c>
      <c r="AC20">
        <v>-10.515474319458001</v>
      </c>
      <c r="AD20">
        <v>-10.515474319458001</v>
      </c>
      <c r="AE20">
        <v>-10.515474319458001</v>
      </c>
      <c r="AF20" s="1">
        <f t="shared" si="0"/>
        <v>-0.5221214294433949</v>
      </c>
      <c r="AG20" s="1">
        <f t="shared" si="1"/>
        <v>-0.58467674255370028</v>
      </c>
      <c r="AH20" s="1">
        <f t="shared" si="2"/>
        <v>-0.45371341705320134</v>
      </c>
      <c r="AI20" s="2">
        <f t="shared" si="3"/>
        <v>-1.0960307113778271E-2</v>
      </c>
      <c r="AJ20" s="2">
        <f t="shared" si="4"/>
        <v>-1.9887168141449085E-2</v>
      </c>
      <c r="AK20" s="2">
        <f t="shared" si="5"/>
        <v>-3.0554449130035702E-2</v>
      </c>
      <c r="AL20" s="53">
        <v>20.3</v>
      </c>
      <c r="AM20" s="53">
        <f t="shared" si="6"/>
        <v>-118.68937873840116</v>
      </c>
      <c r="AN20" s="53">
        <f t="shared" si="7"/>
        <v>-92.103823661799879</v>
      </c>
      <c r="AO20" s="53">
        <f t="shared" si="8"/>
        <v>-105.99065017700917</v>
      </c>
    </row>
    <row r="21" spans="1:42" x14ac:dyDescent="0.45">
      <c r="A21">
        <v>20</v>
      </c>
      <c r="B21">
        <v>47.116458892822202</v>
      </c>
      <c r="C21">
        <v>-3.8442299365997301</v>
      </c>
      <c r="D21">
        <v>29.078149795532202</v>
      </c>
      <c r="E21">
        <v>16.3626194000244</v>
      </c>
      <c r="F21">
        <v>14.6869297027587</v>
      </c>
      <c r="G21">
        <v>4.9285001754760698</v>
      </c>
      <c r="H21" t="s">
        <v>26</v>
      </c>
      <c r="I21">
        <v>10.526</v>
      </c>
      <c r="J21">
        <v>10.526</v>
      </c>
      <c r="K21">
        <v>1.00654673576354</v>
      </c>
      <c r="L21">
        <v>-10.297247921733801</v>
      </c>
      <c r="M21">
        <v>1.0334169864654501</v>
      </c>
      <c r="N21">
        <v>-15.010211677783699</v>
      </c>
      <c r="O21">
        <v>1.01378238201141</v>
      </c>
      <c r="P21">
        <v>1.01378238201141</v>
      </c>
      <c r="Q21">
        <v>46.618144989013601</v>
      </c>
      <c r="R21">
        <v>-3.75850057601928</v>
      </c>
      <c r="S21">
        <v>28.50412940979</v>
      </c>
      <c r="T21">
        <v>15.2529191970825</v>
      </c>
      <c r="U21">
        <v>14.239462852478001</v>
      </c>
      <c r="V21">
        <v>4.3972711563110298</v>
      </c>
      <c r="W21">
        <v>0.99895268678665095</v>
      </c>
      <c r="X21">
        <v>-10.114396072135801</v>
      </c>
      <c r="Y21">
        <v>1.01409268379211</v>
      </c>
      <c r="Z21">
        <v>-14.7288386174392</v>
      </c>
      <c r="AA21">
        <v>0.98448091745376498</v>
      </c>
      <c r="AB21">
        <v>-15.522872020863201</v>
      </c>
      <c r="AC21">
        <v>-10.5260000228881</v>
      </c>
      <c r="AD21">
        <v>-10.5260000228881</v>
      </c>
      <c r="AE21">
        <v>-10.5260000228881</v>
      </c>
      <c r="AF21" s="1">
        <f t="shared" si="0"/>
        <v>-0.49831390380860086</v>
      </c>
      <c r="AG21" s="1">
        <f t="shared" si="1"/>
        <v>-0.57402038574220171</v>
      </c>
      <c r="AH21" s="1">
        <f t="shared" si="2"/>
        <v>-0.44746685028069955</v>
      </c>
      <c r="AI21" s="2">
        <f t="shared" si="3"/>
        <v>-1.0576217218321448E-2</v>
      </c>
      <c r="AJ21" s="2">
        <f t="shared" si="4"/>
        <v>-1.974060900636803E-2</v>
      </c>
      <c r="AK21" s="2">
        <f t="shared" si="5"/>
        <v>-3.0467011100124636E-2</v>
      </c>
      <c r="AL21" s="53">
        <v>9.8000000000000007</v>
      </c>
      <c r="AM21" s="53">
        <f t="shared" si="6"/>
        <v>-56.253997802735768</v>
      </c>
      <c r="AN21" s="53">
        <f t="shared" si="7"/>
        <v>-43.851751327508552</v>
      </c>
      <c r="AO21" s="53">
        <f t="shared" si="8"/>
        <v>-48.834762573242884</v>
      </c>
    </row>
    <row r="22" spans="1:42" x14ac:dyDescent="0.45">
      <c r="A22">
        <v>21</v>
      </c>
      <c r="B22">
        <v>45.983600616455</v>
      </c>
      <c r="C22">
        <v>-3.7518002986907901</v>
      </c>
      <c r="D22">
        <v>28.378999710083001</v>
      </c>
      <c r="E22">
        <v>15.969200134277299</v>
      </c>
      <c r="F22">
        <v>14.3338012695312</v>
      </c>
      <c r="G22">
        <v>4.8099999427795401</v>
      </c>
      <c r="H22" t="s">
        <v>26</v>
      </c>
      <c r="I22">
        <v>10.526</v>
      </c>
      <c r="J22">
        <v>10.526</v>
      </c>
      <c r="K22">
        <v>1.0075364112853999</v>
      </c>
      <c r="L22">
        <v>-10.0065849502655</v>
      </c>
      <c r="M22">
        <v>1.0346474647521899</v>
      </c>
      <c r="N22">
        <v>-14.6034807394421</v>
      </c>
      <c r="O22">
        <v>1.0152115821838299</v>
      </c>
      <c r="P22">
        <v>1.0152115821838299</v>
      </c>
      <c r="Q22">
        <v>45.500274658203097</v>
      </c>
      <c r="R22">
        <v>-3.6690227985382</v>
      </c>
      <c r="S22">
        <v>27.819675445556602</v>
      </c>
      <c r="T22">
        <v>14.890077590942299</v>
      </c>
      <c r="U22">
        <v>13.8977556228637</v>
      </c>
      <c r="V22">
        <v>4.2936472892761204</v>
      </c>
      <c r="W22">
        <v>1.0000089406967101</v>
      </c>
      <c r="X22">
        <v>-9.8248532517009899</v>
      </c>
      <c r="Y22">
        <v>1.01533198356628</v>
      </c>
      <c r="Z22">
        <v>-14.3228675376492</v>
      </c>
      <c r="AA22">
        <v>0.98591524362563998</v>
      </c>
      <c r="AB22">
        <v>-15.0837540327495</v>
      </c>
      <c r="AC22">
        <v>-10.5260000228881</v>
      </c>
      <c r="AD22">
        <v>-10.5260000228881</v>
      </c>
      <c r="AE22">
        <v>-10.5260000228881</v>
      </c>
      <c r="AF22" s="1">
        <f t="shared" si="0"/>
        <v>-0.48332595825190339</v>
      </c>
      <c r="AG22" s="1">
        <f t="shared" si="1"/>
        <v>-0.55932426452639916</v>
      </c>
      <c r="AH22" s="1">
        <f t="shared" si="2"/>
        <v>-0.43604564666750001</v>
      </c>
      <c r="AI22" s="2">
        <f t="shared" si="3"/>
        <v>-1.0510833248646207E-2</v>
      </c>
      <c r="AJ22" s="2">
        <f t="shared" si="4"/>
        <v>-1.9709090180781545E-2</v>
      </c>
      <c r="AK22" s="2">
        <f t="shared" si="5"/>
        <v>-3.042079616342841E-2</v>
      </c>
      <c r="AL22" s="53">
        <v>9.8000000000000007</v>
      </c>
      <c r="AM22" s="53">
        <f t="shared" si="6"/>
        <v>-54.813777923587118</v>
      </c>
      <c r="AN22" s="53">
        <f t="shared" si="7"/>
        <v>-42.732473373415004</v>
      </c>
      <c r="AO22" s="53">
        <f t="shared" si="8"/>
        <v>-47.365943908686532</v>
      </c>
    </row>
    <row r="23" spans="1:42" x14ac:dyDescent="0.45">
      <c r="A23">
        <v>22</v>
      </c>
      <c r="B23">
        <v>43.684421539306598</v>
      </c>
      <c r="C23">
        <v>-3.5642099380493102</v>
      </c>
      <c r="D23">
        <v>26.9600505828857</v>
      </c>
      <c r="E23">
        <v>15.1707391738891</v>
      </c>
      <c r="F23">
        <v>13.6171102523803</v>
      </c>
      <c r="G23">
        <v>4.5694999694824201</v>
      </c>
      <c r="H23" t="s">
        <v>26</v>
      </c>
      <c r="I23">
        <v>10.526</v>
      </c>
      <c r="J23">
        <v>10.526</v>
      </c>
      <c r="K23">
        <v>1.00950980186462</v>
      </c>
      <c r="L23">
        <v>-9.4199024314269408</v>
      </c>
      <c r="M23">
        <v>1.0371167659759499</v>
      </c>
      <c r="N23">
        <v>-13.7825491970643</v>
      </c>
      <c r="O23">
        <v>1.01808929443359</v>
      </c>
      <c r="P23">
        <v>1.01808929443359</v>
      </c>
      <c r="Q23">
        <v>43.2242622375488</v>
      </c>
      <c r="R23">
        <v>-3.4856417179107599</v>
      </c>
      <c r="S23">
        <v>26.428621292114201</v>
      </c>
      <c r="T23">
        <v>14.149579048156699</v>
      </c>
      <c r="U23">
        <v>13.2035417556762</v>
      </c>
      <c r="V23">
        <v>4.0822615623474103</v>
      </c>
      <c r="W23">
        <v>1.0019601583480799</v>
      </c>
      <c r="X23">
        <v>-9.2404178651183795</v>
      </c>
      <c r="Y23">
        <v>1.01775503158569</v>
      </c>
      <c r="Z23">
        <v>-13.5039901746818</v>
      </c>
      <c r="AA23">
        <v>0.98876190185546797</v>
      </c>
      <c r="AB23">
        <v>-14.1985025984111</v>
      </c>
      <c r="AC23">
        <v>-10.5260000228881</v>
      </c>
      <c r="AD23">
        <v>-10.5260000228881</v>
      </c>
      <c r="AE23">
        <v>-10.5260000228881</v>
      </c>
      <c r="AF23" s="1">
        <f t="shared" si="0"/>
        <v>-0.46015930175779829</v>
      </c>
      <c r="AG23" s="1">
        <f t="shared" si="1"/>
        <v>-0.53142929077149859</v>
      </c>
      <c r="AH23" s="1">
        <f t="shared" si="2"/>
        <v>-0.41356849670409979</v>
      </c>
      <c r="AI23" s="2">
        <f t="shared" si="3"/>
        <v>-1.0533716266421286E-2</v>
      </c>
      <c r="AJ23" s="2">
        <f t="shared" si="4"/>
        <v>-1.9711731961988641E-2</v>
      </c>
      <c r="AK23" s="2">
        <f t="shared" si="5"/>
        <v>-3.0371238026203624E-2</v>
      </c>
      <c r="AL23" s="53">
        <v>9.8000000000000007</v>
      </c>
      <c r="AM23" s="53">
        <f t="shared" si="6"/>
        <v>-52.080070495606861</v>
      </c>
      <c r="AN23" s="53">
        <f t="shared" si="7"/>
        <v>-40.529712677001783</v>
      </c>
      <c r="AO23" s="53">
        <f t="shared" si="8"/>
        <v>-45.095611572264232</v>
      </c>
    </row>
    <row r="24" spans="1:42" x14ac:dyDescent="0.45">
      <c r="A24">
        <v>23</v>
      </c>
      <c r="B24">
        <v>40.854660034179602</v>
      </c>
      <c r="C24">
        <v>-3.33332967758178</v>
      </c>
      <c r="D24">
        <v>25.213649749755799</v>
      </c>
      <c r="E24">
        <v>14.188019752502401</v>
      </c>
      <c r="F24">
        <v>12.7350301742553</v>
      </c>
      <c r="G24">
        <v>4.2734999656677202</v>
      </c>
      <c r="H24" t="s">
        <v>26</v>
      </c>
      <c r="I24">
        <v>10.526</v>
      </c>
      <c r="J24">
        <v>10.526</v>
      </c>
      <c r="K24">
        <v>1.01184093952178</v>
      </c>
      <c r="L24">
        <v>-8.7057455297040907</v>
      </c>
      <c r="M24">
        <v>1.04008793830871</v>
      </c>
      <c r="N24">
        <v>-12.782629130870699</v>
      </c>
      <c r="O24">
        <v>1.0215750932693399</v>
      </c>
      <c r="P24">
        <v>1.0215750932693399</v>
      </c>
      <c r="Q24">
        <v>40.423709869384702</v>
      </c>
      <c r="R24">
        <v>-3.26004838943481</v>
      </c>
      <c r="S24">
        <v>24.7166213989257</v>
      </c>
      <c r="T24">
        <v>13.237545013427701</v>
      </c>
      <c r="U24">
        <v>12.3489875793457</v>
      </c>
      <c r="V24">
        <v>3.8214583396911599</v>
      </c>
      <c r="W24">
        <v>1.00427758693695</v>
      </c>
      <c r="X24">
        <v>-8.5310079449090299</v>
      </c>
      <c r="Y24">
        <v>1.0206725597381501</v>
      </c>
      <c r="Z24">
        <v>-12.5105955005219</v>
      </c>
      <c r="AA24">
        <v>0.99220836162567105</v>
      </c>
      <c r="AB24">
        <v>-13.1244681489038</v>
      </c>
      <c r="AC24">
        <v>-10.5260000228881</v>
      </c>
      <c r="AD24">
        <v>-10.5260000228881</v>
      </c>
      <c r="AE24">
        <v>-10.5260000228881</v>
      </c>
      <c r="AF24" s="1">
        <f t="shared" si="0"/>
        <v>-0.43095016479490056</v>
      </c>
      <c r="AG24" s="1">
        <f t="shared" si="1"/>
        <v>-0.49702835083009944</v>
      </c>
      <c r="AH24" s="1">
        <f t="shared" si="2"/>
        <v>-0.38604259490960047</v>
      </c>
      <c r="AI24" s="2">
        <f t="shared" si="3"/>
        <v>-1.0548372313815887E-2</v>
      </c>
      <c r="AJ24" s="2">
        <f t="shared" si="4"/>
        <v>-1.9712669754798719E-2</v>
      </c>
      <c r="AK24" s="2">
        <f t="shared" si="5"/>
        <v>-3.0313441713707985E-2</v>
      </c>
      <c r="AL24" s="53">
        <v>9.8000000000000007</v>
      </c>
      <c r="AM24" s="53">
        <f t="shared" si="6"/>
        <v>-48.708778381349745</v>
      </c>
      <c r="AN24" s="53">
        <f t="shared" si="7"/>
        <v>-37.832174301140846</v>
      </c>
      <c r="AO24" s="53">
        <f t="shared" si="8"/>
        <v>-42.233116149900255</v>
      </c>
    </row>
    <row r="25" spans="1:42" x14ac:dyDescent="0.45">
      <c r="A25">
        <v>24</v>
      </c>
      <c r="B25">
        <v>38.4646606445312</v>
      </c>
      <c r="C25">
        <v>-3.1383297443389799</v>
      </c>
      <c r="D25">
        <v>23.738649368286101</v>
      </c>
      <c r="E25">
        <v>13.358018875121999</v>
      </c>
      <c r="F25">
        <v>11.9900302886962</v>
      </c>
      <c r="G25">
        <v>4.0234999656677202</v>
      </c>
      <c r="H25" t="s">
        <v>26</v>
      </c>
      <c r="I25">
        <v>10.526</v>
      </c>
      <c r="J25">
        <v>10.526</v>
      </c>
      <c r="K25">
        <v>1.01374495029449</v>
      </c>
      <c r="L25">
        <v>-8.1079468778967794</v>
      </c>
      <c r="M25">
        <v>1.0425488948821999</v>
      </c>
      <c r="N25">
        <v>-11.945469058886999</v>
      </c>
      <c r="O25">
        <v>1.0244787931442201</v>
      </c>
      <c r="P25">
        <v>1.0244787931442201</v>
      </c>
      <c r="Q25">
        <v>38.0584716796875</v>
      </c>
      <c r="R25">
        <v>-3.0694892406463601</v>
      </c>
      <c r="S25">
        <v>23.270797729492099</v>
      </c>
      <c r="T25">
        <v>12.466851234436</v>
      </c>
      <c r="U25">
        <v>11.627261161804199</v>
      </c>
      <c r="V25">
        <v>3.6008324623107901</v>
      </c>
      <c r="W25">
        <v>1.0061707496643</v>
      </c>
      <c r="X25">
        <v>-7.93378729786515</v>
      </c>
      <c r="Y25">
        <v>1.0230940580368</v>
      </c>
      <c r="Z25">
        <v>-11.673032447373799</v>
      </c>
      <c r="AA25">
        <v>0.99508869647979703</v>
      </c>
      <c r="AB25">
        <v>-12.219340010138099</v>
      </c>
      <c r="AC25">
        <v>-10.5260000228881</v>
      </c>
      <c r="AD25">
        <v>-10.5260000228881</v>
      </c>
      <c r="AE25">
        <v>-10.5260000228881</v>
      </c>
      <c r="AF25" s="1">
        <f t="shared" si="0"/>
        <v>-0.40618896484370026</v>
      </c>
      <c r="AG25" s="1">
        <f t="shared" si="1"/>
        <v>-0.46785163879400216</v>
      </c>
      <c r="AH25" s="1">
        <f t="shared" si="2"/>
        <v>-0.36276912689200103</v>
      </c>
      <c r="AI25" s="2">
        <f t="shared" si="3"/>
        <v>-1.0560055854839606E-2</v>
      </c>
      <c r="AJ25" s="2">
        <f t="shared" si="4"/>
        <v>-1.9708435452062134E-2</v>
      </c>
      <c r="AK25" s="2">
        <f t="shared" si="5"/>
        <v>-3.0255897454571707E-2</v>
      </c>
      <c r="AL25" s="53">
        <v>9.8000000000000007</v>
      </c>
      <c r="AM25" s="53">
        <f t="shared" si="6"/>
        <v>-45.849460601812211</v>
      </c>
      <c r="AN25" s="53">
        <f t="shared" si="7"/>
        <v>-35.551374435416101</v>
      </c>
      <c r="AO25" s="53">
        <f t="shared" si="8"/>
        <v>-39.806518554682626</v>
      </c>
      <c r="AP25" s="55" t="s">
        <v>59</v>
      </c>
    </row>
    <row r="26" spans="1:42" x14ac:dyDescent="0.45">
      <c r="AL26" s="55" t="s">
        <v>53</v>
      </c>
      <c r="AM26" s="53">
        <f>SUM(AM2:AM25)</f>
        <v>-1546.795326232932</v>
      </c>
      <c r="AN26" s="53">
        <f>SUM(AN2:AN25)</f>
        <v>-1202.0285501479977</v>
      </c>
      <c r="AO26" s="53">
        <f>SUM(AO2:AO25)</f>
        <v>-1399.7037391662736</v>
      </c>
      <c r="AP26" s="54">
        <f>SUM(AM26:AO26)</f>
        <v>-4148.5276155472029</v>
      </c>
    </row>
    <row r="27" spans="1:42" x14ac:dyDescent="0.45">
      <c r="AL27" s="55" t="s">
        <v>54</v>
      </c>
      <c r="AM27" s="54">
        <f>AM26*365</f>
        <v>-564580.29407502012</v>
      </c>
      <c r="AN27" s="54">
        <f>AN26*365</f>
        <v>-438740.4208040192</v>
      </c>
      <c r="AO27" s="54">
        <f>AO26*365</f>
        <v>-510891.86479568988</v>
      </c>
      <c r="AP27" s="54">
        <f>SUM(AM27:AO27)</f>
        <v>-1514212.5796747291</v>
      </c>
    </row>
    <row r="28" spans="1:42" x14ac:dyDescent="0.45">
      <c r="AL28" s="55"/>
    </row>
    <row r="34" spans="35:37" x14ac:dyDescent="0.45">
      <c r="AJ34" s="52" t="s">
        <v>45</v>
      </c>
    </row>
    <row r="35" spans="35:37" x14ac:dyDescent="0.45">
      <c r="AI35">
        <v>4</v>
      </c>
      <c r="AJ35" t="s">
        <v>50</v>
      </c>
    </row>
    <row r="36" spans="35:37" x14ac:dyDescent="0.45">
      <c r="AI36">
        <v>9</v>
      </c>
      <c r="AJ36" t="s">
        <v>51</v>
      </c>
      <c r="AK36" t="s">
        <v>57</v>
      </c>
    </row>
    <row r="37" spans="35:37" x14ac:dyDescent="0.45">
      <c r="AI37">
        <v>14</v>
      </c>
      <c r="AJ37" t="s">
        <v>51</v>
      </c>
      <c r="AK37" t="s">
        <v>57</v>
      </c>
    </row>
  </sheetData>
  <hyperlinks>
    <hyperlink ref="AJ34" r:id="rId1" location="current" display="https://www.oeb.ca/consumer-information-and-protection/electricity-rates - current" xr:uid="{8239901A-CCCE-4CE2-BE72-B1A1DC07FE8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960B4-0CB5-45A1-97C1-5FB3242C4626}">
  <dimension ref="A1:AK25"/>
  <sheetViews>
    <sheetView topLeftCell="S1" zoomScaleNormal="100" workbookViewId="0">
      <selection activeCell="Y42" sqref="Y42"/>
    </sheetView>
  </sheetViews>
  <sheetFormatPr defaultRowHeight="14.25" x14ac:dyDescent="0.45"/>
  <sheetData>
    <row r="1" spans="1:3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</row>
    <row r="2" spans="1:37" x14ac:dyDescent="0.45">
      <c r="A2">
        <v>1</v>
      </c>
      <c r="B2">
        <v>36.882480621337798</v>
      </c>
      <c r="C2">
        <v>-3.0092399120330802</v>
      </c>
      <c r="D2">
        <v>22.762199401855401</v>
      </c>
      <c r="E2">
        <v>12.8085594177246</v>
      </c>
      <c r="F2">
        <v>11.496839523315399</v>
      </c>
      <c r="G2">
        <v>3.85800004005432</v>
      </c>
      <c r="H2" t="s">
        <v>25</v>
      </c>
      <c r="I2">
        <v>10.526</v>
      </c>
      <c r="J2">
        <v>10.526</v>
      </c>
      <c r="K2">
        <v>1.0149734020233101</v>
      </c>
      <c r="L2">
        <v>-7.7147977708351601</v>
      </c>
      <c r="M2">
        <v>1.0441538095474201</v>
      </c>
      <c r="N2">
        <v>-11.3948354250204</v>
      </c>
      <c r="O2">
        <v>1.0263801813125599</v>
      </c>
      <c r="P2">
        <v>1.0263801813125599</v>
      </c>
      <c r="Q2">
        <v>36.492710113525298</v>
      </c>
      <c r="R2">
        <v>-2.9433205127715998</v>
      </c>
      <c r="S2">
        <v>22.313652038574201</v>
      </c>
      <c r="T2">
        <v>11.956332206726</v>
      </c>
      <c r="U2">
        <v>11.1494369506835</v>
      </c>
      <c r="V2">
        <v>3.45454502105712</v>
      </c>
      <c r="W2">
        <v>1.00739169120788</v>
      </c>
      <c r="X2">
        <v>-7.5410881295189203</v>
      </c>
      <c r="Y2">
        <v>1.0246731042861901</v>
      </c>
      <c r="Z2">
        <v>-11.122241719154999</v>
      </c>
      <c r="AA2">
        <v>0.99697583913803101</v>
      </c>
      <c r="AB2">
        <v>-11.6241795189201</v>
      </c>
      <c r="AC2">
        <v>-10.5260000228881</v>
      </c>
      <c r="AD2">
        <v>-10.5260000228881</v>
      </c>
      <c r="AE2">
        <v>-10.5260000228881</v>
      </c>
      <c r="AF2" s="1">
        <f>Q2-B2</f>
        <v>-0.3897705078125</v>
      </c>
      <c r="AG2" s="1">
        <f>S2-D2</f>
        <v>-0.44854736328120026</v>
      </c>
      <c r="AH2" s="1">
        <f>U2-F2</f>
        <v>-0.34740257263189989</v>
      </c>
      <c r="AI2" s="2">
        <f>AF2/B2</f>
        <v>-1.056790381900192E-2</v>
      </c>
      <c r="AJ2" s="2">
        <f>AG2/D2</f>
        <v>-1.9705800628591195E-2</v>
      </c>
      <c r="AK2" s="2">
        <f>AH2/F2</f>
        <v>-3.021722377940244E-2</v>
      </c>
    </row>
    <row r="3" spans="1:37" x14ac:dyDescent="0.45">
      <c r="A3">
        <v>2</v>
      </c>
      <c r="B3">
        <v>35.931259155273402</v>
      </c>
      <c r="C3">
        <v>-2.93162989616394</v>
      </c>
      <c r="D3">
        <v>22.1751499176025</v>
      </c>
      <c r="E3">
        <v>12.4782199859619</v>
      </c>
      <c r="F3">
        <v>11.200329780578601</v>
      </c>
      <c r="G3">
        <v>3.75850009918212</v>
      </c>
      <c r="H3" t="s">
        <v>25</v>
      </c>
      <c r="I3">
        <v>10.526</v>
      </c>
      <c r="J3">
        <v>10.526</v>
      </c>
      <c r="K3">
        <v>1.0156830549240099</v>
      </c>
      <c r="L3">
        <v>-7.4793389500290104</v>
      </c>
      <c r="M3">
        <v>1.0451028347015301</v>
      </c>
      <c r="N3">
        <v>-11.0650499834275</v>
      </c>
      <c r="O3">
        <v>1.0275126695632899</v>
      </c>
      <c r="P3">
        <v>1.0275126695632899</v>
      </c>
      <c r="Q3">
        <v>35.552066802978501</v>
      </c>
      <c r="R3">
        <v>-2.8676259517669598</v>
      </c>
      <c r="S3">
        <v>21.7384033203125</v>
      </c>
      <c r="T3">
        <v>11.6496534347534</v>
      </c>
      <c r="U3">
        <v>10.8622236251831</v>
      </c>
      <c r="V3">
        <v>3.36659336090087</v>
      </c>
      <c r="W3">
        <v>1.0081164836883501</v>
      </c>
      <c r="X3">
        <v>-7.3047174784508302</v>
      </c>
      <c r="Y3">
        <v>1.0256158113479601</v>
      </c>
      <c r="Z3">
        <v>-10.790303060407901</v>
      </c>
      <c r="AA3">
        <v>0.99810683727264404</v>
      </c>
      <c r="AB3">
        <v>-11.2654964004769</v>
      </c>
      <c r="AC3">
        <v>-10.5260000228881</v>
      </c>
      <c r="AD3">
        <v>-10.5260000228881</v>
      </c>
      <c r="AE3">
        <v>-10.5260000228881</v>
      </c>
      <c r="AF3" s="1">
        <f t="shared" ref="AF3:AF25" si="0">Q3-B3</f>
        <v>-0.37919235229490056</v>
      </c>
      <c r="AG3" s="1">
        <f t="shared" ref="AG3:AG25" si="1">S3-D3</f>
        <v>-0.43674659728999998</v>
      </c>
      <c r="AH3" s="1">
        <f t="shared" ref="AH3:AH25" si="2">U3-F3</f>
        <v>-0.33810615539550071</v>
      </c>
      <c r="AI3" s="2">
        <f t="shared" ref="AI3:AI25" si="3">AF3/B3</f>
        <v>-1.0553272031360162E-2</v>
      </c>
      <c r="AJ3" s="2">
        <f t="shared" ref="AJ3:AJ25" si="4">AG3/D3</f>
        <v>-1.9695316555371434E-2</v>
      </c>
      <c r="AK3" s="2">
        <f t="shared" ref="AK3:AK25" si="5">AH3/F3</f>
        <v>-3.0187160737157721E-2</v>
      </c>
    </row>
    <row r="4" spans="1:37" x14ac:dyDescent="0.45">
      <c r="A4">
        <v>3</v>
      </c>
      <c r="B4">
        <v>35.405460357666001</v>
      </c>
      <c r="C4">
        <v>-2.8887300491332999</v>
      </c>
      <c r="D4">
        <v>21.850650787353501</v>
      </c>
      <c r="E4">
        <v>12.2956199645996</v>
      </c>
      <c r="F4">
        <v>11.036430358886699</v>
      </c>
      <c r="G4">
        <v>3.7035000324249201</v>
      </c>
      <c r="H4" t="s">
        <v>25</v>
      </c>
      <c r="I4">
        <v>10.526</v>
      </c>
      <c r="J4">
        <v>10.526</v>
      </c>
      <c r="K4">
        <v>1.0159665346145601</v>
      </c>
      <c r="L4">
        <v>-7.3492844631639098</v>
      </c>
      <c r="M4">
        <v>1.0455787181854199</v>
      </c>
      <c r="N4">
        <v>-10.8830945961657</v>
      </c>
      <c r="O4">
        <v>1.0281068086624101</v>
      </c>
      <c r="P4">
        <v>1.0281068086624101</v>
      </c>
      <c r="Q4">
        <v>35.035591125488203</v>
      </c>
      <c r="R4">
        <v>-2.8265960216522199</v>
      </c>
      <c r="S4">
        <v>21.421289443969702</v>
      </c>
      <c r="T4">
        <v>11.4816570281982</v>
      </c>
      <c r="U4">
        <v>10.7037086486816</v>
      </c>
      <c r="V4">
        <v>3.3182165622711102</v>
      </c>
      <c r="W4">
        <v>1.0085083246230999</v>
      </c>
      <c r="X4">
        <v>-7.1755850671315198</v>
      </c>
      <c r="Y4">
        <v>1.02612829208374</v>
      </c>
      <c r="Z4">
        <v>-10.6091630269852</v>
      </c>
      <c r="AA4">
        <v>0.99872344732284501</v>
      </c>
      <c r="AB4">
        <v>-11.069738054558901</v>
      </c>
      <c r="AC4">
        <v>-10.5260000228881</v>
      </c>
      <c r="AD4">
        <v>-10.5260000228881</v>
      </c>
      <c r="AE4">
        <v>-10.5260000228881</v>
      </c>
      <c r="AF4" s="1">
        <f t="shared" si="0"/>
        <v>-0.36986923217779832</v>
      </c>
      <c r="AG4" s="1">
        <f t="shared" si="1"/>
        <v>-0.42936134338379972</v>
      </c>
      <c r="AH4" s="1">
        <f t="shared" si="2"/>
        <v>-0.33272171020509944</v>
      </c>
      <c r="AI4" s="2">
        <f t="shared" si="3"/>
        <v>-1.0446672022941628E-2</v>
      </c>
      <c r="AJ4" s="2">
        <f t="shared" si="4"/>
        <v>-1.9649819475047448E-2</v>
      </c>
      <c r="AK4" s="2">
        <f t="shared" si="5"/>
        <v>-3.014758390036747E-2</v>
      </c>
    </row>
    <row r="5" spans="1:37" x14ac:dyDescent="0.45">
      <c r="A5">
        <v>4</v>
      </c>
      <c r="B5">
        <v>35.362438201904297</v>
      </c>
      <c r="C5">
        <v>-2.88522005081176</v>
      </c>
      <c r="D5">
        <v>21.824100494384702</v>
      </c>
      <c r="E5">
        <v>12.2806797027587</v>
      </c>
      <c r="F5">
        <v>11.0230197906494</v>
      </c>
      <c r="G5">
        <v>3.6989998817443799</v>
      </c>
      <c r="H5" t="s">
        <v>25</v>
      </c>
      <c r="I5">
        <v>10.526</v>
      </c>
      <c r="J5">
        <v>10.526</v>
      </c>
      <c r="K5">
        <v>1.0159895420074401</v>
      </c>
      <c r="L5">
        <v>-7.3386507123094802</v>
      </c>
      <c r="M5">
        <v>1.0456175804138099</v>
      </c>
      <c r="N5">
        <v>-10.868216736479599</v>
      </c>
      <c r="O5">
        <v>1.0281552076339699</v>
      </c>
      <c r="P5">
        <v>1.0281552076339699</v>
      </c>
      <c r="Q5">
        <v>34.993335723876903</v>
      </c>
      <c r="R5">
        <v>-2.8232383728027299</v>
      </c>
      <c r="S5">
        <v>21.395341873168899</v>
      </c>
      <c r="T5">
        <v>11.4679050445556</v>
      </c>
      <c r="U5">
        <v>10.6907396316528</v>
      </c>
      <c r="V5">
        <v>3.31425786018371</v>
      </c>
      <c r="W5">
        <v>1.0085402727127</v>
      </c>
      <c r="X5">
        <v>-7.1650281559059001</v>
      </c>
      <c r="Y5">
        <v>1.0261701345443699</v>
      </c>
      <c r="Z5">
        <v>-10.5943551767387</v>
      </c>
      <c r="AA5">
        <v>0.99877381324768</v>
      </c>
      <c r="AB5">
        <v>-11.053734921197499</v>
      </c>
      <c r="AC5">
        <v>-10.5260000228881</v>
      </c>
      <c r="AD5">
        <v>-10.5260000228881</v>
      </c>
      <c r="AE5">
        <v>-10.5260000228881</v>
      </c>
      <c r="AF5" s="1">
        <f t="shared" si="0"/>
        <v>-0.36910247802739349</v>
      </c>
      <c r="AG5" s="1">
        <f t="shared" si="1"/>
        <v>-0.42875862121580255</v>
      </c>
      <c r="AH5" s="1">
        <f t="shared" si="2"/>
        <v>-0.33228015899659979</v>
      </c>
      <c r="AI5" s="2">
        <f t="shared" si="3"/>
        <v>-1.043769877857339E-2</v>
      </c>
      <c r="AJ5" s="2">
        <f t="shared" si="4"/>
        <v>-1.9646107353937511E-2</v>
      </c>
      <c r="AK5" s="2">
        <f t="shared" si="5"/>
        <v>-3.0144204157055602E-2</v>
      </c>
    </row>
    <row r="6" spans="1:37" x14ac:dyDescent="0.45">
      <c r="A6">
        <v>5</v>
      </c>
      <c r="B6">
        <v>36.151138305663999</v>
      </c>
      <c r="C6">
        <v>-2.9495699405670099</v>
      </c>
      <c r="D6">
        <v>22.310850143432599</v>
      </c>
      <c r="E6">
        <v>12.5545797348022</v>
      </c>
      <c r="F6">
        <v>11.2688703536987</v>
      </c>
      <c r="G6">
        <v>3.78150010108947</v>
      </c>
      <c r="H6" t="s">
        <v>25</v>
      </c>
      <c r="I6">
        <v>10.526</v>
      </c>
      <c r="J6">
        <v>10.526</v>
      </c>
      <c r="K6">
        <v>1.0155329704284599</v>
      </c>
      <c r="L6">
        <v>-7.5337234779837701</v>
      </c>
      <c r="M6">
        <v>1.0448899269103999</v>
      </c>
      <c r="N6">
        <v>-11.1411997631311</v>
      </c>
      <c r="O6">
        <v>1.02725505828857</v>
      </c>
      <c r="P6">
        <v>1.02725505828857</v>
      </c>
      <c r="Q6">
        <v>35.769073486328097</v>
      </c>
      <c r="R6">
        <v>-2.8850250244140598</v>
      </c>
      <c r="S6">
        <v>21.871278762817301</v>
      </c>
      <c r="T6">
        <v>11.7203731536865</v>
      </c>
      <c r="U6">
        <v>10.928594589233301</v>
      </c>
      <c r="V6">
        <v>3.3869080543518</v>
      </c>
      <c r="W6">
        <v>1.00795102119445</v>
      </c>
      <c r="X6">
        <v>-7.3588740488401001</v>
      </c>
      <c r="Y6">
        <v>1.0253998041152901</v>
      </c>
      <c r="Z6">
        <v>-10.8662581797185</v>
      </c>
      <c r="AA6">
        <v>0.99784755706787098</v>
      </c>
      <c r="AB6">
        <v>-11.347576491977801</v>
      </c>
      <c r="AC6">
        <v>-10.5260000228881</v>
      </c>
      <c r="AD6">
        <v>-10.5260000228881</v>
      </c>
      <c r="AE6">
        <v>-10.5260000228881</v>
      </c>
      <c r="AF6" s="1">
        <f t="shared" si="0"/>
        <v>-0.38206481933590197</v>
      </c>
      <c r="AG6" s="1">
        <f t="shared" si="1"/>
        <v>-0.43957138061529832</v>
      </c>
      <c r="AH6" s="1">
        <f t="shared" si="2"/>
        <v>-0.34027576446539953</v>
      </c>
      <c r="AI6" s="2">
        <f t="shared" si="3"/>
        <v>-1.056854188395063E-2</v>
      </c>
      <c r="AJ6" s="2">
        <f t="shared" si="4"/>
        <v>-1.9702134960764377E-2</v>
      </c>
      <c r="AK6" s="2">
        <f t="shared" si="5"/>
        <v>-3.0196084770263885E-2</v>
      </c>
    </row>
    <row r="7" spans="1:37" x14ac:dyDescent="0.45">
      <c r="A7">
        <v>6</v>
      </c>
      <c r="B7">
        <v>38.173080444335902</v>
      </c>
      <c r="C7">
        <v>-3.11454010009765</v>
      </c>
      <c r="D7">
        <v>23.558700561523398</v>
      </c>
      <c r="E7">
        <v>13.2567596435546</v>
      </c>
      <c r="F7">
        <v>11.899140357971101</v>
      </c>
      <c r="G7">
        <v>3.9930000305175701</v>
      </c>
      <c r="H7" t="s">
        <v>25</v>
      </c>
      <c r="I7">
        <v>10.526</v>
      </c>
      <c r="J7">
        <v>10.526</v>
      </c>
      <c r="K7">
        <v>1.0139731168746899</v>
      </c>
      <c r="L7">
        <v>-8.03535391923368</v>
      </c>
      <c r="M7">
        <v>1.04284596443176</v>
      </c>
      <c r="N7">
        <v>-11.8438068148693</v>
      </c>
      <c r="O7">
        <v>1.02483010292053</v>
      </c>
      <c r="P7">
        <v>1.02483010292053</v>
      </c>
      <c r="Q7">
        <v>37.769924163818303</v>
      </c>
      <c r="R7">
        <v>-3.0462396144866899</v>
      </c>
      <c r="S7">
        <v>23.094406127929599</v>
      </c>
      <c r="T7">
        <v>12.3727865219116</v>
      </c>
      <c r="U7">
        <v>11.539211273193301</v>
      </c>
      <c r="V7">
        <v>3.57389187812805</v>
      </c>
      <c r="W7">
        <v>1.00639760494232</v>
      </c>
      <c r="X7">
        <v>-7.8612617873206698</v>
      </c>
      <c r="Y7">
        <v>1.0233863592147801</v>
      </c>
      <c r="Z7">
        <v>-11.571313854294999</v>
      </c>
      <c r="AA7">
        <v>0.99543768167495705</v>
      </c>
      <c r="AB7">
        <v>-12.1094226286646</v>
      </c>
      <c r="AC7">
        <v>-10.5260000228881</v>
      </c>
      <c r="AD7">
        <v>-10.5260000228881</v>
      </c>
      <c r="AE7">
        <v>-10.5260000228881</v>
      </c>
      <c r="AF7" s="1">
        <f t="shared" si="0"/>
        <v>-0.40315628051759944</v>
      </c>
      <c r="AG7" s="1">
        <f t="shared" si="1"/>
        <v>-0.46429443359379974</v>
      </c>
      <c r="AH7" s="1">
        <f t="shared" si="2"/>
        <v>-0.35992908477780006</v>
      </c>
      <c r="AI7" s="2">
        <f t="shared" si="3"/>
        <v>-1.0561271865535796E-2</v>
      </c>
      <c r="AJ7" s="2">
        <f t="shared" si="4"/>
        <v>-1.970798144750377E-2</v>
      </c>
      <c r="AK7" s="2">
        <f t="shared" si="5"/>
        <v>-3.0248326681573061E-2</v>
      </c>
    </row>
    <row r="8" spans="1:37" x14ac:dyDescent="0.45">
      <c r="A8">
        <v>7</v>
      </c>
      <c r="B8">
        <v>41.232280731201101</v>
      </c>
      <c r="C8">
        <v>-3.3641402721404998</v>
      </c>
      <c r="D8">
        <v>25.446697235107401</v>
      </c>
      <c r="E8">
        <v>14.3191604614257</v>
      </c>
      <c r="F8">
        <v>12.8527402877807</v>
      </c>
      <c r="G8">
        <v>4.3130002021789497</v>
      </c>
      <c r="H8" t="s">
        <v>25</v>
      </c>
      <c r="I8">
        <v>10.526</v>
      </c>
      <c r="J8">
        <v>10.526</v>
      </c>
      <c r="K8">
        <v>1.0115344524383501</v>
      </c>
      <c r="L8">
        <v>-8.8006877212950592</v>
      </c>
      <c r="M8">
        <v>1.03969466686248</v>
      </c>
      <c r="N8">
        <v>-12.9155838868367</v>
      </c>
      <c r="O8">
        <v>1.02111220359802</v>
      </c>
      <c r="P8">
        <v>1.02111220359802</v>
      </c>
      <c r="Q8">
        <v>40.797435760497997</v>
      </c>
      <c r="R8">
        <v>-3.2901577949523899</v>
      </c>
      <c r="S8">
        <v>24.9450664520263</v>
      </c>
      <c r="T8">
        <v>13.359276771545399</v>
      </c>
      <c r="U8">
        <v>12.463020324706999</v>
      </c>
      <c r="V8">
        <v>3.8562853336334202</v>
      </c>
      <c r="W8">
        <v>1.00397312641143</v>
      </c>
      <c r="X8">
        <v>-8.6258263393202395</v>
      </c>
      <c r="Y8">
        <v>1.02028596401214</v>
      </c>
      <c r="Z8">
        <v>-12.6435622093191</v>
      </c>
      <c r="AA8">
        <v>0.99174988269805897</v>
      </c>
      <c r="AB8">
        <v>-13.2681719151675</v>
      </c>
      <c r="AC8">
        <v>-10.5260000228881</v>
      </c>
      <c r="AD8">
        <v>-10.5260000228881</v>
      </c>
      <c r="AE8">
        <v>-10.5260000228881</v>
      </c>
      <c r="AF8" s="1">
        <f t="shared" si="0"/>
        <v>-0.43484497070310368</v>
      </c>
      <c r="AG8" s="1">
        <f t="shared" si="1"/>
        <v>-0.50163078308110087</v>
      </c>
      <c r="AH8" s="1">
        <f t="shared" si="2"/>
        <v>-0.38971996307370027</v>
      </c>
      <c r="AI8" s="2">
        <f t="shared" si="3"/>
        <v>-1.0546226475753737E-2</v>
      </c>
      <c r="AJ8" s="2">
        <f t="shared" si="4"/>
        <v>-1.9713001590989522E-2</v>
      </c>
      <c r="AK8" s="2">
        <f t="shared" si="5"/>
        <v>-3.0321935583201124E-2</v>
      </c>
    </row>
    <row r="9" spans="1:37" x14ac:dyDescent="0.45">
      <c r="A9">
        <v>8</v>
      </c>
      <c r="B9">
        <v>43.3020210266113</v>
      </c>
      <c r="C9">
        <v>-3.5330102443695002</v>
      </c>
      <c r="D9">
        <v>26.7240486145019</v>
      </c>
      <c r="E9">
        <v>15.037940025329499</v>
      </c>
      <c r="F9">
        <v>13.4979095458984</v>
      </c>
      <c r="G9">
        <v>4.5295000076293901</v>
      </c>
      <c r="H9" t="s">
        <v>25</v>
      </c>
      <c r="I9">
        <v>10.526</v>
      </c>
      <c r="J9">
        <v>10.526</v>
      </c>
      <c r="K9">
        <v>1.0098295211791899</v>
      </c>
      <c r="L9">
        <v>-9.32304095666289</v>
      </c>
      <c r="M9">
        <v>1.0375216007232599</v>
      </c>
      <c r="N9">
        <v>-13.6469468889987</v>
      </c>
      <c r="O9">
        <v>1.0185627937316799</v>
      </c>
      <c r="P9">
        <v>1.0185627937316799</v>
      </c>
      <c r="Q9">
        <v>42.8458442687988</v>
      </c>
      <c r="R9">
        <v>-3.4551687240600502</v>
      </c>
      <c r="S9">
        <v>26.197299957275298</v>
      </c>
      <c r="T9">
        <v>14.026439666748001</v>
      </c>
      <c r="U9">
        <v>13.088090896606399</v>
      </c>
      <c r="V9">
        <v>4.0470829010009703</v>
      </c>
      <c r="W9">
        <v>1.0022789239883401</v>
      </c>
      <c r="X9">
        <v>-9.1437126309329209</v>
      </c>
      <c r="Y9">
        <v>1.0181536674499501</v>
      </c>
      <c r="Z9">
        <v>-13.368473243981599</v>
      </c>
      <c r="AA9">
        <v>0.98923176527023304</v>
      </c>
      <c r="AB9">
        <v>-14.052010407395001</v>
      </c>
      <c r="AC9">
        <v>-10.5260000228881</v>
      </c>
      <c r="AD9">
        <v>-10.5260000228881</v>
      </c>
      <c r="AE9">
        <v>-10.5260000228881</v>
      </c>
      <c r="AF9" s="1">
        <f t="shared" si="0"/>
        <v>-0.4561767578125</v>
      </c>
      <c r="AG9" s="1">
        <f t="shared" si="1"/>
        <v>-0.52674865722660158</v>
      </c>
      <c r="AH9" s="1">
        <f t="shared" si="2"/>
        <v>-0.40981864929200107</v>
      </c>
      <c r="AI9" s="2">
        <f t="shared" si="3"/>
        <v>-1.0534768285576234E-2</v>
      </c>
      <c r="AJ9" s="2">
        <f t="shared" si="4"/>
        <v>-1.9710660791896612E-2</v>
      </c>
      <c r="AK9" s="2">
        <f t="shared" si="5"/>
        <v>-3.0361638437303971E-2</v>
      </c>
    </row>
    <row r="10" spans="1:37" x14ac:dyDescent="0.45">
      <c r="A10">
        <v>9</v>
      </c>
      <c r="B10">
        <v>43.885181427001903</v>
      </c>
      <c r="C10">
        <v>-3.5805900096893302</v>
      </c>
      <c r="D10">
        <v>27.0839519500732</v>
      </c>
      <c r="E10">
        <v>15.240460395812899</v>
      </c>
      <c r="F10">
        <v>13.679690361022899</v>
      </c>
      <c r="G10">
        <v>4.5904998779296804</v>
      </c>
      <c r="H10" t="s">
        <v>25</v>
      </c>
      <c r="I10">
        <v>10.526</v>
      </c>
      <c r="J10">
        <v>10.526</v>
      </c>
      <c r="K10">
        <v>1.0093410015106199</v>
      </c>
      <c r="L10">
        <v>-9.4708932091090006</v>
      </c>
      <c r="M10">
        <v>1.03690326213836</v>
      </c>
      <c r="N10">
        <v>-13.853938334876</v>
      </c>
      <c r="O10">
        <v>1.01783955097198</v>
      </c>
      <c r="P10">
        <v>1.01783955097198</v>
      </c>
      <c r="Q10">
        <v>43.422950744628899</v>
      </c>
      <c r="R10">
        <v>-3.5016438961028999</v>
      </c>
      <c r="S10">
        <v>26.5500793457031</v>
      </c>
      <c r="T10">
        <v>14.214244842529199</v>
      </c>
      <c r="U10">
        <v>13.2641611099243</v>
      </c>
      <c r="V10">
        <v>4.1007356643676696</v>
      </c>
      <c r="W10">
        <v>1.0017921924591</v>
      </c>
      <c r="X10">
        <v>-9.2912447182589695</v>
      </c>
      <c r="Y10">
        <v>1.01754522323608</v>
      </c>
      <c r="Z10">
        <v>-13.575214534178301</v>
      </c>
      <c r="AA10">
        <v>0.98851478099822998</v>
      </c>
      <c r="AB10">
        <v>-14.275496760257999</v>
      </c>
      <c r="AC10">
        <v>-10.5260000228881</v>
      </c>
      <c r="AD10">
        <v>-10.5260000228881</v>
      </c>
      <c r="AE10">
        <v>-10.5260000228881</v>
      </c>
      <c r="AF10" s="1">
        <f t="shared" si="0"/>
        <v>-0.46223068237300424</v>
      </c>
      <c r="AG10" s="1">
        <f t="shared" si="1"/>
        <v>-0.53387260437009942</v>
      </c>
      <c r="AH10" s="1">
        <f t="shared" si="2"/>
        <v>-0.41552925109859906</v>
      </c>
      <c r="AI10" s="2">
        <f t="shared" si="3"/>
        <v>-1.053272807227363E-2</v>
      </c>
      <c r="AJ10" s="2">
        <f t="shared" si="4"/>
        <v>-1.9711768997162784E-2</v>
      </c>
      <c r="AK10" s="2">
        <f t="shared" si="5"/>
        <v>-3.0375632790823479E-2</v>
      </c>
    </row>
    <row r="11" spans="1:37" x14ac:dyDescent="0.45">
      <c r="A11">
        <v>10</v>
      </c>
      <c r="B11">
        <v>44.119400024413999</v>
      </c>
      <c r="C11">
        <v>-3.5996999740600502</v>
      </c>
      <c r="D11">
        <v>27.228502273559499</v>
      </c>
      <c r="E11">
        <v>15.3218002319335</v>
      </c>
      <c r="F11">
        <v>13.752700805664</v>
      </c>
      <c r="G11">
        <v>4.6149997711181596</v>
      </c>
      <c r="H11" t="s">
        <v>25</v>
      </c>
      <c r="I11">
        <v>10.515473999999999</v>
      </c>
      <c r="J11">
        <v>10.515473999999999</v>
      </c>
      <c r="K11">
        <v>1.0091438293457</v>
      </c>
      <c r="L11">
        <v>-9.5303636667176992</v>
      </c>
      <c r="M11">
        <v>1.0366541147232</v>
      </c>
      <c r="N11">
        <v>-13.9371940726977</v>
      </c>
      <c r="O11">
        <v>1.0175484418869001</v>
      </c>
      <c r="P11">
        <v>1.0175484418869001</v>
      </c>
      <c r="Q11">
        <v>43.655067443847599</v>
      </c>
      <c r="R11">
        <v>-3.5203895568847599</v>
      </c>
      <c r="S11">
        <v>26.692317962646399</v>
      </c>
      <c r="T11">
        <v>14.290711402893001</v>
      </c>
      <c r="U11">
        <v>13.3353052139282</v>
      </c>
      <c r="V11">
        <v>4.1227760314941397</v>
      </c>
      <c r="W11">
        <v>1.00160336494445</v>
      </c>
      <c r="X11">
        <v>-9.3507587183240002</v>
      </c>
      <c r="Y11">
        <v>1.0173199176788299</v>
      </c>
      <c r="Z11">
        <v>-13.6586427342781</v>
      </c>
      <c r="AA11">
        <v>0.988256335258483</v>
      </c>
      <c r="AB11">
        <v>-14.3660240882867</v>
      </c>
      <c r="AC11">
        <v>-10.515474319458001</v>
      </c>
      <c r="AD11">
        <v>-10.515474319458001</v>
      </c>
      <c r="AE11">
        <v>-10.515474319458001</v>
      </c>
      <c r="AF11" s="1">
        <f t="shared" si="0"/>
        <v>-0.46433258056639914</v>
      </c>
      <c r="AG11" s="1">
        <f t="shared" si="1"/>
        <v>-0.53618431091310015</v>
      </c>
      <c r="AH11" s="1">
        <f t="shared" si="2"/>
        <v>-0.41739559173580076</v>
      </c>
      <c r="AI11" s="2">
        <f t="shared" si="3"/>
        <v>-1.0524453648722674E-2</v>
      </c>
      <c r="AJ11" s="2">
        <f t="shared" si="4"/>
        <v>-1.969202365690775E-2</v>
      </c>
      <c r="AK11" s="2">
        <f t="shared" si="5"/>
        <v>-3.0350081604618193E-2</v>
      </c>
    </row>
    <row r="12" spans="1:37" x14ac:dyDescent="0.45">
      <c r="A12">
        <v>11</v>
      </c>
      <c r="B12">
        <v>44.267578125</v>
      </c>
      <c r="C12">
        <v>-3.61178994178771</v>
      </c>
      <c r="D12">
        <v>27.319950103759702</v>
      </c>
      <c r="E12">
        <v>15.3732595443725</v>
      </c>
      <c r="F12">
        <v>13.7988891601562</v>
      </c>
      <c r="G12">
        <v>4.6304998397827104</v>
      </c>
      <c r="H12" t="s">
        <v>25</v>
      </c>
      <c r="I12">
        <v>10.483896</v>
      </c>
      <c r="J12">
        <v>10.483896</v>
      </c>
      <c r="K12">
        <v>1.0090187788009599</v>
      </c>
      <c r="L12">
        <v>-9.56801508483737</v>
      </c>
      <c r="M12">
        <v>1.0364962816238401</v>
      </c>
      <c r="N12">
        <v>-13.9899026429706</v>
      </c>
      <c r="O12">
        <v>1.0173640251159599</v>
      </c>
      <c r="P12">
        <v>1.0173640251159599</v>
      </c>
      <c r="Q12">
        <v>43.802715301513601</v>
      </c>
      <c r="R12">
        <v>-3.5324399471282901</v>
      </c>
      <c r="S12">
        <v>26.783603668212798</v>
      </c>
      <c r="T12">
        <v>14.341574668884199</v>
      </c>
      <c r="U12">
        <v>13.381330490112299</v>
      </c>
      <c r="V12">
        <v>4.1379051208495996</v>
      </c>
      <c r="W12">
        <v>1.0015016794204701</v>
      </c>
      <c r="X12">
        <v>-9.3888429996860001</v>
      </c>
      <c r="Y12">
        <v>1.01722383499145</v>
      </c>
      <c r="Z12">
        <v>-13.712105186687101</v>
      </c>
      <c r="AA12">
        <v>0.98816382884979204</v>
      </c>
      <c r="AB12">
        <v>-14.4248388477295</v>
      </c>
      <c r="AC12">
        <v>-10.4838962554931</v>
      </c>
      <c r="AD12">
        <v>-10.4838962554931</v>
      </c>
      <c r="AE12">
        <v>-10.4838962554931</v>
      </c>
      <c r="AF12" s="1">
        <f t="shared" si="0"/>
        <v>-0.46486282348639918</v>
      </c>
      <c r="AG12" s="1">
        <f t="shared" si="1"/>
        <v>-0.53634643554690342</v>
      </c>
      <c r="AH12" s="1">
        <f t="shared" si="2"/>
        <v>-0.4175586700439009</v>
      </c>
      <c r="AI12" s="2">
        <f t="shared" si="3"/>
        <v>-1.0501202983676875E-2</v>
      </c>
      <c r="AJ12" s="2">
        <f t="shared" si="4"/>
        <v>-1.9632043012885767E-2</v>
      </c>
      <c r="AK12" s="2">
        <f t="shared" si="5"/>
        <v>-3.0260310463945651E-2</v>
      </c>
    </row>
    <row r="13" spans="1:37" x14ac:dyDescent="0.45">
      <c r="A13">
        <v>12</v>
      </c>
      <c r="B13">
        <v>44.415760040283203</v>
      </c>
      <c r="C13">
        <v>-3.62388014793396</v>
      </c>
      <c r="D13">
        <v>27.411401748657202</v>
      </c>
      <c r="E13">
        <v>15.424719810485801</v>
      </c>
      <c r="F13">
        <v>13.8450803756713</v>
      </c>
      <c r="G13">
        <v>4.6459999084472603</v>
      </c>
      <c r="H13" t="s">
        <v>25</v>
      </c>
      <c r="I13">
        <v>10.452318</v>
      </c>
      <c r="J13">
        <v>10.452318</v>
      </c>
      <c r="K13">
        <v>1.0088933706283501</v>
      </c>
      <c r="L13">
        <v>-9.6056878472983804</v>
      </c>
      <c r="M13">
        <v>1.03633832931518</v>
      </c>
      <c r="N13">
        <v>-14.042641949095101</v>
      </c>
      <c r="O13">
        <v>1.01717936992645</v>
      </c>
      <c r="P13">
        <v>1.01717936992645</v>
      </c>
      <c r="Q13">
        <v>43.9503784179687</v>
      </c>
      <c r="R13">
        <v>-3.5444934368133501</v>
      </c>
      <c r="S13">
        <v>26.874902725219702</v>
      </c>
      <c r="T13">
        <v>14.392452239990201</v>
      </c>
      <c r="U13">
        <v>13.427371025085399</v>
      </c>
      <c r="V13">
        <v>4.1530456542968697</v>
      </c>
      <c r="W13">
        <v>1.0013998746871899</v>
      </c>
      <c r="X13">
        <v>-9.4269494791629906</v>
      </c>
      <c r="Y13">
        <v>1.01712763309478</v>
      </c>
      <c r="Z13">
        <v>-13.7655958136266</v>
      </c>
      <c r="AA13">
        <v>0.98807120323181097</v>
      </c>
      <c r="AB13">
        <v>-14.483686050571199</v>
      </c>
      <c r="AC13">
        <v>-10.452318191528301</v>
      </c>
      <c r="AD13">
        <v>-10.452318191528301</v>
      </c>
      <c r="AE13">
        <v>-10.452318191528301</v>
      </c>
      <c r="AF13" s="1">
        <f t="shared" si="0"/>
        <v>-0.46538162231450286</v>
      </c>
      <c r="AG13" s="1">
        <f t="shared" si="1"/>
        <v>-0.5364990234375</v>
      </c>
      <c r="AH13" s="1">
        <f t="shared" si="2"/>
        <v>-0.4177093505859002</v>
      </c>
      <c r="AI13" s="2">
        <f t="shared" si="3"/>
        <v>-1.0477848896257129E-2</v>
      </c>
      <c r="AJ13" s="2">
        <f t="shared" si="4"/>
        <v>-1.9572111939287505E-2</v>
      </c>
      <c r="AK13" s="2">
        <f t="shared" si="5"/>
        <v>-3.0170236593201932E-2</v>
      </c>
    </row>
    <row r="14" spans="1:37" x14ac:dyDescent="0.45">
      <c r="A14">
        <v>13</v>
      </c>
      <c r="B14">
        <v>44.559158325195298</v>
      </c>
      <c r="C14">
        <v>-3.63558006286621</v>
      </c>
      <c r="D14">
        <v>27.499902725219702</v>
      </c>
      <c r="E14">
        <v>15.474518775939901</v>
      </c>
      <c r="F14">
        <v>13.889780998229901</v>
      </c>
      <c r="G14">
        <v>4.6609997749328604</v>
      </c>
      <c r="H14" t="s">
        <v>25</v>
      </c>
      <c r="I14">
        <v>10.452318</v>
      </c>
      <c r="J14">
        <v>10.452318</v>
      </c>
      <c r="K14">
        <v>1.00877177715301</v>
      </c>
      <c r="L14">
        <v>-9.6421661804181298</v>
      </c>
      <c r="M14">
        <v>1.0361851453781099</v>
      </c>
      <c r="N14">
        <v>-14.0937061513113</v>
      </c>
      <c r="O14">
        <v>1.01700067520141</v>
      </c>
      <c r="P14">
        <v>1.01700067520141</v>
      </c>
      <c r="Q14">
        <v>44.092296600341797</v>
      </c>
      <c r="R14">
        <v>-3.55592441558837</v>
      </c>
      <c r="S14">
        <v>26.961669921875</v>
      </c>
      <c r="T14">
        <v>14.438647270202599</v>
      </c>
      <c r="U14">
        <v>13.470675468444799</v>
      </c>
      <c r="V14">
        <v>4.1662411689758301</v>
      </c>
      <c r="W14">
        <v>1.0012787580490099</v>
      </c>
      <c r="X14">
        <v>-9.4633484113329605</v>
      </c>
      <c r="Y14">
        <v>1.0169769525527901</v>
      </c>
      <c r="Z14">
        <v>-13.8165993979135</v>
      </c>
      <c r="AA14">
        <v>0.98789405822753895</v>
      </c>
      <c r="AB14">
        <v>-14.5388210455673</v>
      </c>
      <c r="AC14">
        <v>-10.452318191528301</v>
      </c>
      <c r="AD14">
        <v>-10.452318191528301</v>
      </c>
      <c r="AE14">
        <v>-10.452318191528301</v>
      </c>
      <c r="AF14" s="1">
        <f t="shared" si="0"/>
        <v>-0.46686172485350141</v>
      </c>
      <c r="AG14" s="1">
        <f t="shared" si="1"/>
        <v>-0.53823280334470169</v>
      </c>
      <c r="AH14" s="1">
        <f t="shared" si="2"/>
        <v>-0.41910552978510118</v>
      </c>
      <c r="AI14" s="2">
        <f t="shared" si="3"/>
        <v>-1.0477346125937068E-2</v>
      </c>
      <c r="AJ14" s="2">
        <f t="shared" si="4"/>
        <v>-1.957217117175827E-2</v>
      </c>
      <c r="AK14" s="2">
        <f t="shared" si="5"/>
        <v>-3.0173660033841539E-2</v>
      </c>
    </row>
    <row r="15" spans="1:37" x14ac:dyDescent="0.45">
      <c r="A15">
        <v>14</v>
      </c>
      <c r="B15">
        <v>44.6356391906738</v>
      </c>
      <c r="C15">
        <v>-3.6418199539184499</v>
      </c>
      <c r="D15">
        <v>27.547100067138601</v>
      </c>
      <c r="E15">
        <v>15.5010786056518</v>
      </c>
      <c r="F15">
        <v>13.9136199951171</v>
      </c>
      <c r="G15">
        <v>4.6690001487731898</v>
      </c>
      <c r="H15" t="s">
        <v>25</v>
      </c>
      <c r="I15">
        <v>10.473369999999999</v>
      </c>
      <c r="J15">
        <v>10.473369999999999</v>
      </c>
      <c r="K15">
        <v>1.00870692729949</v>
      </c>
      <c r="L15">
        <v>-9.6616262433025195</v>
      </c>
      <c r="M15">
        <v>1.0361033678054801</v>
      </c>
      <c r="N15">
        <v>-14.1209500685948</v>
      </c>
      <c r="O15">
        <v>1.0169051885604801</v>
      </c>
      <c r="P15">
        <v>1.0169051885604801</v>
      </c>
      <c r="Q15">
        <v>44.167308807372997</v>
      </c>
      <c r="R15">
        <v>-3.56185579299926</v>
      </c>
      <c r="S15">
        <v>27.0068340301513</v>
      </c>
      <c r="T15">
        <v>14.4611701965332</v>
      </c>
      <c r="U15">
        <v>13.4929046630859</v>
      </c>
      <c r="V15">
        <v>4.1722702980041504</v>
      </c>
      <c r="W15">
        <v>1.00119876861572</v>
      </c>
      <c r="X15">
        <v>-9.4824268373942306</v>
      </c>
      <c r="Y15">
        <v>1.0168570280075</v>
      </c>
      <c r="Z15">
        <v>-13.843266164207099</v>
      </c>
      <c r="AA15">
        <v>0.98773938417434604</v>
      </c>
      <c r="AB15">
        <v>-14.566969962923499</v>
      </c>
      <c r="AC15">
        <v>-10.473369598388601</v>
      </c>
      <c r="AD15">
        <v>-10.473369598388601</v>
      </c>
      <c r="AE15">
        <v>-10.473369598388601</v>
      </c>
      <c r="AF15" s="1">
        <f t="shared" si="0"/>
        <v>-0.46833038330080257</v>
      </c>
      <c r="AG15" s="1">
        <f t="shared" si="1"/>
        <v>-0.54026603698730113</v>
      </c>
      <c r="AH15" s="1">
        <f t="shared" si="2"/>
        <v>-0.42071533203120026</v>
      </c>
      <c r="AI15" s="2">
        <f t="shared" si="3"/>
        <v>-1.0492297002854522E-2</v>
      </c>
      <c r="AJ15" s="2">
        <f t="shared" si="4"/>
        <v>-1.9612446888077107E-2</v>
      </c>
      <c r="AK15" s="2">
        <f t="shared" si="5"/>
        <v>-3.0237661527255145E-2</v>
      </c>
    </row>
    <row r="16" spans="1:37" x14ac:dyDescent="0.45">
      <c r="A16">
        <v>15</v>
      </c>
      <c r="B16">
        <v>44.951118469238203</v>
      </c>
      <c r="C16">
        <v>-3.6675601005554199</v>
      </c>
      <c r="D16">
        <v>27.741802215576101</v>
      </c>
      <c r="E16">
        <v>15.6106395721435</v>
      </c>
      <c r="F16">
        <v>14.011960029601999</v>
      </c>
      <c r="G16">
        <v>4.7020001411437899</v>
      </c>
      <c r="H16" t="s">
        <v>25</v>
      </c>
      <c r="I16">
        <v>10.504948000000001</v>
      </c>
      <c r="J16">
        <v>10.504948000000001</v>
      </c>
      <c r="K16">
        <v>1.00843858718872</v>
      </c>
      <c r="L16">
        <v>-9.7419680516448608</v>
      </c>
      <c r="M16">
        <v>1.03576588630676</v>
      </c>
      <c r="N16">
        <v>-14.233417671971299</v>
      </c>
      <c r="O16">
        <v>1.0165113210678101</v>
      </c>
      <c r="P16">
        <v>1.0165113210678101</v>
      </c>
      <c r="Q16">
        <v>44.478504180908203</v>
      </c>
      <c r="R16">
        <v>-3.58675193786621</v>
      </c>
      <c r="S16">
        <v>27.196016311645501</v>
      </c>
      <c r="T16">
        <v>14.5595598220825</v>
      </c>
      <c r="U16">
        <v>13.586854934692299</v>
      </c>
      <c r="V16">
        <v>4.1997561454772896</v>
      </c>
      <c r="W16">
        <v>1.0009082555770801</v>
      </c>
      <c r="X16">
        <v>-9.5620822117191508</v>
      </c>
      <c r="Y16">
        <v>1.0164654254913299</v>
      </c>
      <c r="Z16">
        <v>-13.954779248638999</v>
      </c>
      <c r="AA16">
        <v>0.98725861310958796</v>
      </c>
      <c r="AB16">
        <v>-14.6865016895091</v>
      </c>
      <c r="AC16">
        <v>-10.5049476623535</v>
      </c>
      <c r="AD16">
        <v>-10.5049476623535</v>
      </c>
      <c r="AE16">
        <v>-10.5049476623535</v>
      </c>
      <c r="AF16" s="1">
        <f t="shared" si="0"/>
        <v>-0.47261428832999997</v>
      </c>
      <c r="AG16" s="1">
        <f t="shared" si="1"/>
        <v>-0.54578590393060011</v>
      </c>
      <c r="AH16" s="1">
        <f t="shared" si="2"/>
        <v>-0.42510509490969994</v>
      </c>
      <c r="AI16" s="2">
        <f t="shared" si="3"/>
        <v>-1.0513960595962218E-2</v>
      </c>
      <c r="AJ16" s="2">
        <f t="shared" si="4"/>
        <v>-1.9673772442374327E-2</v>
      </c>
      <c r="AK16" s="2">
        <f t="shared" si="5"/>
        <v>-3.0338731627239362E-2</v>
      </c>
    </row>
    <row r="17" spans="1:37" x14ac:dyDescent="0.45">
      <c r="A17">
        <v>16</v>
      </c>
      <c r="B17">
        <v>45.859321594238203</v>
      </c>
      <c r="C17">
        <v>-3.7416598796844398</v>
      </c>
      <c r="D17">
        <v>28.302299499511701</v>
      </c>
      <c r="E17">
        <v>15.926038742065399</v>
      </c>
      <c r="F17">
        <v>14.2950592041015</v>
      </c>
      <c r="G17">
        <v>4.7969999313354403</v>
      </c>
      <c r="H17" t="s">
        <v>25</v>
      </c>
      <c r="I17">
        <v>10.515473999999999</v>
      </c>
      <c r="J17">
        <v>10.515473999999999</v>
      </c>
      <c r="K17">
        <v>1.0076440572738601</v>
      </c>
      <c r="L17">
        <v>-9.9747759052568608</v>
      </c>
      <c r="M17">
        <v>1.0347818136215201</v>
      </c>
      <c r="N17">
        <v>-14.5589683962428</v>
      </c>
      <c r="O17">
        <v>1.0153677463531401</v>
      </c>
      <c r="P17">
        <v>1.0153677463531401</v>
      </c>
      <c r="Q17">
        <v>45.377616882324197</v>
      </c>
      <c r="R17">
        <v>-3.6591987609863201</v>
      </c>
      <c r="S17">
        <v>27.745059967041001</v>
      </c>
      <c r="T17">
        <v>14.8511705398559</v>
      </c>
      <c r="U17">
        <v>13.8606805801391</v>
      </c>
      <c r="V17">
        <v>4.2827577590942303</v>
      </c>
      <c r="W17">
        <v>1.0001235008239699</v>
      </c>
      <c r="X17">
        <v>-9.7933063152038997</v>
      </c>
      <c r="Y17">
        <v>1.0154838562011701</v>
      </c>
      <c r="Z17">
        <v>-14.2787018265533</v>
      </c>
      <c r="AA17">
        <v>0.98610007762908902</v>
      </c>
      <c r="AB17">
        <v>-15.0363456893175</v>
      </c>
      <c r="AC17">
        <v>-10.515474319458001</v>
      </c>
      <c r="AD17">
        <v>-10.515474319458001</v>
      </c>
      <c r="AE17">
        <v>-10.515474319458001</v>
      </c>
      <c r="AF17" s="1">
        <f t="shared" si="0"/>
        <v>-0.48170471191400566</v>
      </c>
      <c r="AG17" s="1">
        <f t="shared" si="1"/>
        <v>-0.55723953247069957</v>
      </c>
      <c r="AH17" s="1">
        <f t="shared" si="2"/>
        <v>-0.43437862396240057</v>
      </c>
      <c r="AI17" s="2">
        <f t="shared" si="3"/>
        <v>-1.0503965064640804E-2</v>
      </c>
      <c r="AJ17" s="2">
        <f t="shared" si="4"/>
        <v>-1.9688843038365614E-2</v>
      </c>
      <c r="AK17" s="2">
        <f t="shared" si="5"/>
        <v>-3.0386626439278391E-2</v>
      </c>
    </row>
    <row r="18" spans="1:37" x14ac:dyDescent="0.45">
      <c r="A18">
        <v>17</v>
      </c>
      <c r="B18">
        <v>47.2407417297363</v>
      </c>
      <c r="C18">
        <v>-3.8543701171875</v>
      </c>
      <c r="D18">
        <v>29.154850006103501</v>
      </c>
      <c r="E18">
        <v>16.4057807922363</v>
      </c>
      <c r="F18">
        <v>14.725669860839799</v>
      </c>
      <c r="G18">
        <v>4.9415001869201598</v>
      </c>
      <c r="H18" t="s">
        <v>25</v>
      </c>
      <c r="I18">
        <v>10.526</v>
      </c>
      <c r="J18">
        <v>10.526</v>
      </c>
      <c r="K18">
        <v>1.00643718242645</v>
      </c>
      <c r="L18">
        <v>-10.3292132073211</v>
      </c>
      <c r="M18">
        <v>1.03328132629394</v>
      </c>
      <c r="N18">
        <v>-15.0549374643963</v>
      </c>
      <c r="O18">
        <v>1.0136250257492001</v>
      </c>
      <c r="P18">
        <v>1.0136250257492001</v>
      </c>
      <c r="Q18">
        <v>46.736682891845703</v>
      </c>
      <c r="R18">
        <v>-3.7673263549804599</v>
      </c>
      <c r="S18">
        <v>28.578149795532202</v>
      </c>
      <c r="T18">
        <v>15.2906637191772</v>
      </c>
      <c r="U18">
        <v>14.276602745056101</v>
      </c>
      <c r="V18">
        <v>4.4082260131835902</v>
      </c>
      <c r="W18">
        <v>0.99874830245971602</v>
      </c>
      <c r="X18">
        <v>-10.1458806831562</v>
      </c>
      <c r="Y18">
        <v>1.0139201879501301</v>
      </c>
      <c r="Z18">
        <v>-14.7734073096996</v>
      </c>
      <c r="AA18">
        <v>0.98430043458938599</v>
      </c>
      <c r="AB18">
        <v>-15.5713270907944</v>
      </c>
      <c r="AC18">
        <v>-10.5260000228881</v>
      </c>
      <c r="AD18">
        <v>-10.5260000228881</v>
      </c>
      <c r="AE18">
        <v>-10.5260000228881</v>
      </c>
      <c r="AF18" s="1">
        <f t="shared" si="0"/>
        <v>-0.50405883789059658</v>
      </c>
      <c r="AG18" s="1">
        <f t="shared" si="1"/>
        <v>-0.57670021057129972</v>
      </c>
      <c r="AH18" s="1">
        <f t="shared" si="2"/>
        <v>-0.44906711578369851</v>
      </c>
      <c r="AI18" s="2">
        <f t="shared" si="3"/>
        <v>-1.0670002617111962E-2</v>
      </c>
      <c r="AJ18" s="2">
        <f t="shared" si="4"/>
        <v>-1.9780592609825426E-2</v>
      </c>
      <c r="AK18" s="2">
        <f t="shared" si="5"/>
        <v>-3.0495530595719085E-2</v>
      </c>
    </row>
    <row r="19" spans="1:37" x14ac:dyDescent="0.45">
      <c r="A19">
        <v>18</v>
      </c>
      <c r="B19">
        <v>47.799999237060497</v>
      </c>
      <c r="C19">
        <v>-3.9000000953674299</v>
      </c>
      <c r="D19">
        <v>29.4999980926513</v>
      </c>
      <c r="E19">
        <v>16.600000381469702</v>
      </c>
      <c r="F19">
        <v>14.8999986648559</v>
      </c>
      <c r="G19">
        <v>5</v>
      </c>
      <c r="H19" t="s">
        <v>25</v>
      </c>
      <c r="I19">
        <v>10.526</v>
      </c>
      <c r="J19">
        <v>10.526</v>
      </c>
      <c r="K19">
        <v>1.00594234466552</v>
      </c>
      <c r="L19">
        <v>-10.4732499453097</v>
      </c>
      <c r="M19">
        <v>1.03266930580139</v>
      </c>
      <c r="N19">
        <v>-15.256469027759399</v>
      </c>
      <c r="O19">
        <v>1.0129156112670801</v>
      </c>
      <c r="P19">
        <v>1.0129156112670801</v>
      </c>
      <c r="Q19">
        <v>47.269756317138601</v>
      </c>
      <c r="R19">
        <v>-3.8069586753845202</v>
      </c>
      <c r="S19">
        <v>28.911167144775298</v>
      </c>
      <c r="T19">
        <v>15.4603567123413</v>
      </c>
      <c r="U19">
        <v>14.4437093734741</v>
      </c>
      <c r="V19">
        <v>4.4574809074401802</v>
      </c>
      <c r="W19">
        <v>0.99782592058181696</v>
      </c>
      <c r="X19">
        <v>-10.287812869088899</v>
      </c>
      <c r="Y19">
        <v>1.0131429433822601</v>
      </c>
      <c r="Z19">
        <v>-14.9743258635795</v>
      </c>
      <c r="AA19">
        <v>0.98348730802536</v>
      </c>
      <c r="AB19">
        <v>-15.7897599574023</v>
      </c>
      <c r="AC19">
        <v>-10.5260000228881</v>
      </c>
      <c r="AD19">
        <v>-10.5260000228881</v>
      </c>
      <c r="AE19">
        <v>-10.5260000228881</v>
      </c>
      <c r="AF19" s="1">
        <f t="shared" si="0"/>
        <v>-0.53024291992189632</v>
      </c>
      <c r="AG19" s="1">
        <f t="shared" si="1"/>
        <v>-0.58883094787600143</v>
      </c>
      <c r="AH19" s="1">
        <f t="shared" si="2"/>
        <v>-0.45628929138180041</v>
      </c>
      <c r="AI19" s="2">
        <f t="shared" si="3"/>
        <v>-1.109294829257625E-2</v>
      </c>
      <c r="AJ19" s="2">
        <f t="shared" si="4"/>
        <v>-1.9960372404996332E-2</v>
      </c>
      <c r="AK19" s="2">
        <f t="shared" si="5"/>
        <v>-3.0623445118692111E-2</v>
      </c>
    </row>
    <row r="20" spans="1:37" x14ac:dyDescent="0.45">
      <c r="A20">
        <v>19</v>
      </c>
      <c r="B20">
        <v>47.637481689453097</v>
      </c>
      <c r="C20">
        <v>-3.88673996925354</v>
      </c>
      <c r="D20">
        <v>29.3996982574462</v>
      </c>
      <c r="E20">
        <v>16.543560028076101</v>
      </c>
      <c r="F20">
        <v>14.849340438842701</v>
      </c>
      <c r="G20">
        <v>4.9829998016357404</v>
      </c>
      <c r="H20" t="s">
        <v>25</v>
      </c>
      <c r="I20">
        <v>10.526</v>
      </c>
      <c r="J20">
        <v>10.526</v>
      </c>
      <c r="K20">
        <v>1.00608646869659</v>
      </c>
      <c r="L20">
        <v>-10.431360394774</v>
      </c>
      <c r="M20">
        <v>1.03284752368927</v>
      </c>
      <c r="N20">
        <v>-15.1978608815407</v>
      </c>
      <c r="O20">
        <v>1.0131219625473</v>
      </c>
      <c r="P20">
        <v>1.0131219625473</v>
      </c>
      <c r="Q20">
        <v>47.114902496337798</v>
      </c>
      <c r="R20">
        <v>-3.7954561710357599</v>
      </c>
      <c r="S20">
        <v>28.8144016265869</v>
      </c>
      <c r="T20">
        <v>15.411068916320801</v>
      </c>
      <c r="U20">
        <v>14.3951568603515</v>
      </c>
      <c r="V20">
        <v>4.44317579269409</v>
      </c>
      <c r="W20">
        <v>0.99809443950652998</v>
      </c>
      <c r="X20">
        <v>-10.2465252289789</v>
      </c>
      <c r="Y20">
        <v>1.0133690834045399</v>
      </c>
      <c r="Z20">
        <v>-14.915879934355001</v>
      </c>
      <c r="AA20">
        <v>0.98372387886047297</v>
      </c>
      <c r="AB20">
        <v>-15.7262169994664</v>
      </c>
      <c r="AC20">
        <v>-10.5260000228881</v>
      </c>
      <c r="AD20">
        <v>-10.5260000228881</v>
      </c>
      <c r="AE20">
        <v>-10.5260000228881</v>
      </c>
      <c r="AF20" s="1">
        <f t="shared" si="0"/>
        <v>-0.52257919311529832</v>
      </c>
      <c r="AG20" s="1">
        <f t="shared" si="1"/>
        <v>-0.58529663085930039</v>
      </c>
      <c r="AH20" s="1">
        <f t="shared" si="2"/>
        <v>-0.45418357849120028</v>
      </c>
      <c r="AI20" s="2">
        <f t="shared" si="3"/>
        <v>-1.096991643097282E-2</v>
      </c>
      <c r="AJ20" s="2">
        <f t="shared" si="4"/>
        <v>-1.9908252994095255E-2</v>
      </c>
      <c r="AK20" s="2">
        <f t="shared" si="5"/>
        <v>-3.0586111239200436E-2</v>
      </c>
    </row>
    <row r="21" spans="1:37" x14ac:dyDescent="0.45">
      <c r="A21">
        <v>20</v>
      </c>
      <c r="B21">
        <v>47.116458892822202</v>
      </c>
      <c r="C21">
        <v>-3.8442299365997301</v>
      </c>
      <c r="D21">
        <v>29.078149795532202</v>
      </c>
      <c r="E21">
        <v>16.3626194000244</v>
      </c>
      <c r="F21">
        <v>14.6869297027587</v>
      </c>
      <c r="G21">
        <v>4.9285001754760698</v>
      </c>
      <c r="H21" t="s">
        <v>25</v>
      </c>
      <c r="I21">
        <v>10.526</v>
      </c>
      <c r="J21">
        <v>10.526</v>
      </c>
      <c r="K21">
        <v>1.00654673576354</v>
      </c>
      <c r="L21">
        <v>-10.297247921733801</v>
      </c>
      <c r="M21">
        <v>1.0334169864654501</v>
      </c>
      <c r="N21">
        <v>-15.010211677783699</v>
      </c>
      <c r="O21">
        <v>1.01378238201141</v>
      </c>
      <c r="P21">
        <v>1.01378238201141</v>
      </c>
      <c r="Q21">
        <v>46.618144989013601</v>
      </c>
      <c r="R21">
        <v>-3.75850057601928</v>
      </c>
      <c r="S21">
        <v>28.50412940979</v>
      </c>
      <c r="T21">
        <v>15.2529191970825</v>
      </c>
      <c r="U21">
        <v>14.239462852478001</v>
      </c>
      <c r="V21">
        <v>4.3972711563110298</v>
      </c>
      <c r="W21">
        <v>0.99895268678665095</v>
      </c>
      <c r="X21">
        <v>-10.114396072135801</v>
      </c>
      <c r="Y21">
        <v>1.01409268379211</v>
      </c>
      <c r="Z21">
        <v>-14.7288386174392</v>
      </c>
      <c r="AA21">
        <v>0.98448091745376498</v>
      </c>
      <c r="AB21">
        <v>-15.522872020863201</v>
      </c>
      <c r="AC21">
        <v>-10.5260000228881</v>
      </c>
      <c r="AD21">
        <v>-10.5260000228881</v>
      </c>
      <c r="AE21">
        <v>-10.5260000228881</v>
      </c>
      <c r="AF21" s="1">
        <f t="shared" si="0"/>
        <v>-0.49831390380860086</v>
      </c>
      <c r="AG21" s="1">
        <f t="shared" si="1"/>
        <v>-0.57402038574220171</v>
      </c>
      <c r="AH21" s="1">
        <f t="shared" si="2"/>
        <v>-0.44746685028069955</v>
      </c>
      <c r="AI21" s="2">
        <f t="shared" si="3"/>
        <v>-1.0576217218321448E-2</v>
      </c>
      <c r="AJ21" s="2">
        <f t="shared" si="4"/>
        <v>-1.974060900636803E-2</v>
      </c>
      <c r="AK21" s="2">
        <f t="shared" si="5"/>
        <v>-3.0467011100124636E-2</v>
      </c>
    </row>
    <row r="22" spans="1:37" x14ac:dyDescent="0.45">
      <c r="A22">
        <v>21</v>
      </c>
      <c r="B22">
        <v>45.983600616455</v>
      </c>
      <c r="C22">
        <v>-3.7518002986907901</v>
      </c>
      <c r="D22">
        <v>28.378999710083001</v>
      </c>
      <c r="E22">
        <v>15.969200134277299</v>
      </c>
      <c r="F22">
        <v>14.3338012695312</v>
      </c>
      <c r="G22">
        <v>4.8099999427795401</v>
      </c>
      <c r="H22" t="s">
        <v>25</v>
      </c>
      <c r="I22">
        <v>10.526</v>
      </c>
      <c r="J22">
        <v>10.526</v>
      </c>
      <c r="K22">
        <v>1.0075364112853999</v>
      </c>
      <c r="L22">
        <v>-10.0065849502655</v>
      </c>
      <c r="M22">
        <v>1.0346474647521899</v>
      </c>
      <c r="N22">
        <v>-14.6034807394421</v>
      </c>
      <c r="O22">
        <v>1.0152115821838299</v>
      </c>
      <c r="P22">
        <v>1.0152115821838299</v>
      </c>
      <c r="Q22">
        <v>45.500274658203097</v>
      </c>
      <c r="R22">
        <v>-3.6690227985382</v>
      </c>
      <c r="S22">
        <v>27.819675445556602</v>
      </c>
      <c r="T22">
        <v>14.890077590942299</v>
      </c>
      <c r="U22">
        <v>13.8977556228637</v>
      </c>
      <c r="V22">
        <v>4.2936472892761204</v>
      </c>
      <c r="W22">
        <v>1.0000089406967101</v>
      </c>
      <c r="X22">
        <v>-9.8248532517009899</v>
      </c>
      <c r="Y22">
        <v>1.01533198356628</v>
      </c>
      <c r="Z22">
        <v>-14.3228675376492</v>
      </c>
      <c r="AA22">
        <v>0.98591524362563998</v>
      </c>
      <c r="AB22">
        <v>-15.0837540327495</v>
      </c>
      <c r="AC22">
        <v>-10.5260000228881</v>
      </c>
      <c r="AD22">
        <v>-10.5260000228881</v>
      </c>
      <c r="AE22">
        <v>-10.5260000228881</v>
      </c>
      <c r="AF22" s="1">
        <f t="shared" si="0"/>
        <v>-0.48332595825190339</v>
      </c>
      <c r="AG22" s="1">
        <f t="shared" si="1"/>
        <v>-0.55932426452639916</v>
      </c>
      <c r="AH22" s="1">
        <f t="shared" si="2"/>
        <v>-0.43604564666750001</v>
      </c>
      <c r="AI22" s="2">
        <f t="shared" si="3"/>
        <v>-1.0510833248646207E-2</v>
      </c>
      <c r="AJ22" s="2">
        <f t="shared" si="4"/>
        <v>-1.9709090180781545E-2</v>
      </c>
      <c r="AK22" s="2">
        <f t="shared" si="5"/>
        <v>-3.042079616342841E-2</v>
      </c>
    </row>
    <row r="23" spans="1:37" x14ac:dyDescent="0.45">
      <c r="A23">
        <v>22</v>
      </c>
      <c r="B23">
        <v>43.684421539306598</v>
      </c>
      <c r="C23">
        <v>-3.5642099380493102</v>
      </c>
      <c r="D23">
        <v>26.9600505828857</v>
      </c>
      <c r="E23">
        <v>15.1707391738891</v>
      </c>
      <c r="F23">
        <v>13.6171102523803</v>
      </c>
      <c r="G23">
        <v>4.5694999694824201</v>
      </c>
      <c r="H23" t="s">
        <v>25</v>
      </c>
      <c r="I23">
        <v>10.526</v>
      </c>
      <c r="J23">
        <v>10.526</v>
      </c>
      <c r="K23">
        <v>1.00950980186462</v>
      </c>
      <c r="L23">
        <v>-9.4199024314269408</v>
      </c>
      <c r="M23">
        <v>1.0371167659759499</v>
      </c>
      <c r="N23">
        <v>-13.7825491970643</v>
      </c>
      <c r="O23">
        <v>1.01808929443359</v>
      </c>
      <c r="P23">
        <v>1.01808929443359</v>
      </c>
      <c r="Q23">
        <v>43.2242622375488</v>
      </c>
      <c r="R23">
        <v>-3.4856417179107599</v>
      </c>
      <c r="S23">
        <v>26.428621292114201</v>
      </c>
      <c r="T23">
        <v>14.149579048156699</v>
      </c>
      <c r="U23">
        <v>13.2035417556762</v>
      </c>
      <c r="V23">
        <v>4.0822615623474103</v>
      </c>
      <c r="W23">
        <v>1.0019601583480799</v>
      </c>
      <c r="X23">
        <v>-9.2404178651183795</v>
      </c>
      <c r="Y23">
        <v>1.01775503158569</v>
      </c>
      <c r="Z23">
        <v>-13.5039901746818</v>
      </c>
      <c r="AA23">
        <v>0.98876190185546797</v>
      </c>
      <c r="AB23">
        <v>-14.1985025984111</v>
      </c>
      <c r="AC23">
        <v>-10.5260000228881</v>
      </c>
      <c r="AD23">
        <v>-10.5260000228881</v>
      </c>
      <c r="AE23">
        <v>-10.5260000228881</v>
      </c>
      <c r="AF23" s="1">
        <f t="shared" si="0"/>
        <v>-0.46015930175779829</v>
      </c>
      <c r="AG23" s="1">
        <f t="shared" si="1"/>
        <v>-0.53142929077149859</v>
      </c>
      <c r="AH23" s="1">
        <f t="shared" si="2"/>
        <v>-0.41356849670409979</v>
      </c>
      <c r="AI23" s="2">
        <f t="shared" si="3"/>
        <v>-1.0533716266421286E-2</v>
      </c>
      <c r="AJ23" s="2">
        <f t="shared" si="4"/>
        <v>-1.9711731961988641E-2</v>
      </c>
      <c r="AK23" s="2">
        <f t="shared" si="5"/>
        <v>-3.0371238026203624E-2</v>
      </c>
    </row>
    <row r="24" spans="1:37" x14ac:dyDescent="0.45">
      <c r="A24">
        <v>23</v>
      </c>
      <c r="B24">
        <v>40.854660034179602</v>
      </c>
      <c r="C24">
        <v>-3.33332967758178</v>
      </c>
      <c r="D24">
        <v>25.213649749755799</v>
      </c>
      <c r="E24">
        <v>14.188019752502401</v>
      </c>
      <c r="F24">
        <v>12.7350301742553</v>
      </c>
      <c r="G24">
        <v>4.2734999656677202</v>
      </c>
      <c r="H24" t="s">
        <v>25</v>
      </c>
      <c r="I24">
        <v>10.526</v>
      </c>
      <c r="J24">
        <v>10.526</v>
      </c>
      <c r="K24">
        <v>1.01184093952178</v>
      </c>
      <c r="L24">
        <v>-8.7057455297040907</v>
      </c>
      <c r="M24">
        <v>1.04008793830871</v>
      </c>
      <c r="N24">
        <v>-12.782629130870699</v>
      </c>
      <c r="O24">
        <v>1.0215750932693399</v>
      </c>
      <c r="P24">
        <v>1.0215750932693399</v>
      </c>
      <c r="Q24">
        <v>40.423709869384702</v>
      </c>
      <c r="R24">
        <v>-3.26004838943481</v>
      </c>
      <c r="S24">
        <v>24.7166213989257</v>
      </c>
      <c r="T24">
        <v>13.237545013427701</v>
      </c>
      <c r="U24">
        <v>12.3489875793457</v>
      </c>
      <c r="V24">
        <v>3.8214583396911599</v>
      </c>
      <c r="W24">
        <v>1.00427758693695</v>
      </c>
      <c r="X24">
        <v>-8.5310079449090299</v>
      </c>
      <c r="Y24">
        <v>1.0206725597381501</v>
      </c>
      <c r="Z24">
        <v>-12.5105955005219</v>
      </c>
      <c r="AA24">
        <v>0.99220836162567105</v>
      </c>
      <c r="AB24">
        <v>-13.1244681489038</v>
      </c>
      <c r="AC24">
        <v>-10.5260000228881</v>
      </c>
      <c r="AD24">
        <v>-10.5260000228881</v>
      </c>
      <c r="AE24">
        <v>-10.5260000228881</v>
      </c>
      <c r="AF24" s="1">
        <f t="shared" si="0"/>
        <v>-0.43095016479490056</v>
      </c>
      <c r="AG24" s="1">
        <f t="shared" si="1"/>
        <v>-0.49702835083009944</v>
      </c>
      <c r="AH24" s="1">
        <f t="shared" si="2"/>
        <v>-0.38604259490960047</v>
      </c>
      <c r="AI24" s="2">
        <f t="shared" si="3"/>
        <v>-1.0548372313815887E-2</v>
      </c>
      <c r="AJ24" s="2">
        <f t="shared" si="4"/>
        <v>-1.9712669754798719E-2</v>
      </c>
      <c r="AK24" s="2">
        <f t="shared" si="5"/>
        <v>-3.0313441713707985E-2</v>
      </c>
    </row>
    <row r="25" spans="1:37" x14ac:dyDescent="0.45">
      <c r="A25">
        <v>24</v>
      </c>
      <c r="B25">
        <v>38.4646606445312</v>
      </c>
      <c r="C25">
        <v>-3.1383297443389799</v>
      </c>
      <c r="D25">
        <v>23.738649368286101</v>
      </c>
      <c r="E25">
        <v>13.358018875121999</v>
      </c>
      <c r="F25">
        <v>11.9900302886962</v>
      </c>
      <c r="G25">
        <v>4.0234999656677202</v>
      </c>
      <c r="H25" t="s">
        <v>25</v>
      </c>
      <c r="I25">
        <v>10.526</v>
      </c>
      <c r="J25">
        <v>10.526</v>
      </c>
      <c r="K25">
        <v>1.01374495029449</v>
      </c>
      <c r="L25">
        <v>-8.1079468778967794</v>
      </c>
      <c r="M25">
        <v>1.0425488948821999</v>
      </c>
      <c r="N25">
        <v>-11.945469058886999</v>
      </c>
      <c r="O25">
        <v>1.0244787931442201</v>
      </c>
      <c r="P25">
        <v>1.0244787931442201</v>
      </c>
      <c r="Q25">
        <v>38.0584716796875</v>
      </c>
      <c r="R25">
        <v>-3.0694892406463601</v>
      </c>
      <c r="S25">
        <v>23.270797729492099</v>
      </c>
      <c r="T25">
        <v>12.466851234436</v>
      </c>
      <c r="U25">
        <v>11.627261161804199</v>
      </c>
      <c r="V25">
        <v>3.6008324623107901</v>
      </c>
      <c r="W25">
        <v>1.0061707496643</v>
      </c>
      <c r="X25">
        <v>-7.93378729786515</v>
      </c>
      <c r="Y25">
        <v>1.0230940580368</v>
      </c>
      <c r="Z25">
        <v>-11.673032447373799</v>
      </c>
      <c r="AA25">
        <v>0.99508869647979703</v>
      </c>
      <c r="AB25">
        <v>-12.219340010138099</v>
      </c>
      <c r="AC25">
        <v>-10.5260000228881</v>
      </c>
      <c r="AD25">
        <v>-10.5260000228881</v>
      </c>
      <c r="AE25">
        <v>-10.5260000228881</v>
      </c>
      <c r="AF25" s="1">
        <f t="shared" si="0"/>
        <v>-0.40618896484370026</v>
      </c>
      <c r="AG25" s="1">
        <f t="shared" si="1"/>
        <v>-0.46785163879400216</v>
      </c>
      <c r="AH25" s="1">
        <f t="shared" si="2"/>
        <v>-0.36276912689200103</v>
      </c>
      <c r="AI25" s="2">
        <f t="shared" si="3"/>
        <v>-1.0560055854839606E-2</v>
      </c>
      <c r="AJ25" s="2">
        <f t="shared" si="4"/>
        <v>-1.9708435452062134E-2</v>
      </c>
      <c r="AK25" s="2">
        <f t="shared" si="5"/>
        <v>-3.0255897454571707E-2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Analysis</vt:lpstr>
      <vt:lpstr>Moderate sunny two 10 one 50</vt:lpstr>
      <vt:lpstr>Very sunny two 10 one 50</vt:lpstr>
      <vt:lpstr>cloudy two 10 one 50</vt:lpstr>
      <vt:lpstr>cloudy one 100</vt:lpstr>
      <vt:lpstr>very sunny one 100</vt:lpstr>
      <vt:lpstr>very sunny all 10</vt:lpstr>
      <vt:lpstr>cloudy all 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Joanne Hu</dc:creator>
  <cp:keywords/>
  <dc:description/>
  <cp:lastModifiedBy>Wang, Emma</cp:lastModifiedBy>
  <cp:revision/>
  <dcterms:created xsi:type="dcterms:W3CDTF">2026-02-22T07:20:30Z</dcterms:created>
  <dcterms:modified xsi:type="dcterms:W3CDTF">2026-03-01T20:29:19Z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804de9-5306-4a8f-920e-16c68d5498ba_Enabled">
    <vt:lpwstr>true</vt:lpwstr>
  </property>
  <property fmtid="{D5CDD505-2E9C-101B-9397-08002B2CF9AE}" pid="3" name="MSIP_Label_9e804de9-5306-4a8f-920e-16c68d5498ba_SetDate">
    <vt:lpwstr>2026-02-26T18:37:44Z</vt:lpwstr>
  </property>
  <property fmtid="{D5CDD505-2E9C-101B-9397-08002B2CF9AE}" pid="4" name="MSIP_Label_9e804de9-5306-4a8f-920e-16c68d5498ba_Method">
    <vt:lpwstr>Standard</vt:lpwstr>
  </property>
  <property fmtid="{D5CDD505-2E9C-101B-9397-08002B2CF9AE}" pid="5" name="MSIP_Label_9e804de9-5306-4a8f-920e-16c68d5498ba_Name">
    <vt:lpwstr>Public</vt:lpwstr>
  </property>
  <property fmtid="{D5CDD505-2E9C-101B-9397-08002B2CF9AE}" pid="6" name="MSIP_Label_9e804de9-5306-4a8f-920e-16c68d5498ba_SiteId">
    <vt:lpwstr>547040db-1855-4320-9738-e6878f6271fc</vt:lpwstr>
  </property>
  <property fmtid="{D5CDD505-2E9C-101B-9397-08002B2CF9AE}" pid="7" name="MSIP_Label_9e804de9-5306-4a8f-920e-16c68d5498ba_ActionId">
    <vt:lpwstr>7dd9377a-bddc-4fe1-9bd8-7700105d65b5</vt:lpwstr>
  </property>
  <property fmtid="{D5CDD505-2E9C-101B-9397-08002B2CF9AE}" pid="8" name="MSIP_Label_9e804de9-5306-4a8f-920e-16c68d5498ba_ContentBits">
    <vt:lpwstr>0</vt:lpwstr>
  </property>
  <property fmtid="{D5CDD505-2E9C-101B-9397-08002B2CF9AE}" pid="9" name="MSIP_Label_9e804de9-5306-4a8f-920e-16c68d5498ba_Tag">
    <vt:lpwstr>10, 3, 0, 1</vt:lpwstr>
  </property>
</Properties>
</file>